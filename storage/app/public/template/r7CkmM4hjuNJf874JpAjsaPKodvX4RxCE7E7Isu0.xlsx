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Kuliah\ss-06\TugasAkhir\"/>
    </mc:Choice>
  </mc:AlternateContent>
  <xr:revisionPtr revIDLastSave="0" documentId="13_ncr:1_{20E33CAD-A0EF-46A5-B560-5FBCED3838C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strumen Audit SPMI 2021" sheetId="1" r:id="rId1"/>
    <sheet name="Hasil AMI  Tindak lanjut" sheetId="2" r:id="rId2"/>
    <sheet name="PTPP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ZIMCyV3Zl2dcKHuW9bB0TnDxTfhL8fhG9LOQKZFtRd4="/>
    </ext>
  </extLst>
</workbook>
</file>

<file path=xl/calcChain.xml><?xml version="1.0" encoding="utf-8"?>
<calcChain xmlns="http://schemas.openxmlformats.org/spreadsheetml/2006/main">
  <c r="C10" i="2" l="1"/>
  <c r="A11" i="3" s="1"/>
</calcChain>
</file>

<file path=xl/sharedStrings.xml><?xml version="1.0" encoding="utf-8"?>
<sst xmlns="http://schemas.openxmlformats.org/spreadsheetml/2006/main" count="85" uniqueCount="70">
  <si>
    <t>NAMA AUDITI (PROGRAM STUDI / UNIT):</t>
  </si>
  <si>
    <t>JURUSAN / PSDKU / UNIT:</t>
  </si>
  <si>
    <t>Periode Audit:</t>
  </si>
  <si>
    <t>AUDITOR 1:</t>
  </si>
  <si>
    <t>AUDITOR 2:</t>
  </si>
  <si>
    <t>KODE STANDAR</t>
  </si>
  <si>
    <t>TEMUAN</t>
  </si>
  <si>
    <t>HASIL AMI</t>
  </si>
  <si>
    <r>
      <rPr>
        <b/>
        <sz val="12"/>
        <color theme="1"/>
        <rFont val="Times New Roman"/>
      </rPr>
      <t xml:space="preserve">TINDAKAN PERBAIKAN
</t>
    </r>
    <r>
      <rPr>
        <sz val="12"/>
        <color theme="1"/>
        <rFont val="Times New Roman"/>
      </rPr>
      <t>(berikan tanggapan / penjelasan terkait perbaikan yang telah dilakukan)</t>
    </r>
  </si>
  <si>
    <r>
      <rPr>
        <b/>
        <sz val="12"/>
        <color theme="1"/>
        <rFont val="Times New Roman"/>
      </rPr>
      <t xml:space="preserve">REFERENSI / BUKTI
</t>
    </r>
    <r>
      <rPr>
        <sz val="12"/>
        <color theme="1"/>
        <rFont val="Times New Roman"/>
      </rPr>
      <t>(Berupa link)</t>
    </r>
  </si>
  <si>
    <t>TANGGAPAN AUDITOR TERHADAP TINDAKAN PERBAIKAN</t>
  </si>
  <si>
    <t>VALIDASI</t>
  </si>
  <si>
    <t xml:space="preserve">KEMENTERIAN PENDIDIKAN TINGGI, SAINS, </t>
  </si>
  <si>
    <t>DAN TEKNOLOGI</t>
  </si>
  <si>
    <t>POLITEKNIK NEGERI MALANG</t>
  </si>
  <si>
    <t>PENJAMINAN MUTU DAN PENGEMBANGAN PEMBELAJARAN</t>
  </si>
  <si>
    <t>Jalan Soekarno Hatta Nomor 9 Jatimulyo, Lowokwaru, Malang 65141</t>
  </si>
  <si>
    <t>Telepon (0341) 404424, 404425, Faksimile (0341) 404420</t>
  </si>
  <si>
    <r>
      <rPr>
        <sz val="11"/>
        <rFont val="Times New Roman"/>
      </rPr>
      <t xml:space="preserve">Laman </t>
    </r>
    <r>
      <rPr>
        <u/>
        <sz val="11"/>
        <color rgb="FF1155CC"/>
        <rFont val="Times New Roman"/>
      </rPr>
      <t>www.polinema.ac.id</t>
    </r>
    <r>
      <rPr>
        <sz val="11"/>
        <rFont val="Times New Roman"/>
      </rPr>
      <t xml:space="preserve"> </t>
    </r>
  </si>
  <si>
    <t>FORM HASIL PERMINTAAN TINDAKAN  PERBAIKAN &amp; PENCEGAHAN (PTPP)</t>
  </si>
  <si>
    <t>[  V  ] Internal Audit</t>
  </si>
  <si>
    <t>[  ] Eksternal Audit</t>
  </si>
  <si>
    <t>[  ] Tinjauan Manajemen</t>
  </si>
  <si>
    <t>[  ] Keluhan Pelanggan</t>
  </si>
  <si>
    <t>Lokasi:</t>
  </si>
  <si>
    <t>Tanggal:</t>
  </si>
  <si>
    <t>NO.</t>
  </si>
  <si>
    <t>PENYEBAB KETIDAK SESUAIAN</t>
  </si>
  <si>
    <t>TINDAKAN PERBAIKAN</t>
  </si>
  <si>
    <t>TINDAKAN PENCEGAHAN</t>
  </si>
  <si>
    <t>PEMERIKSAAN</t>
  </si>
  <si>
    <t>DUE DATE</t>
  </si>
  <si>
    <t>STATUS</t>
  </si>
  <si>
    <t>Penanggungjawab/ Pelaksana/Auditee</t>
  </si>
  <si>
    <t>Pengawas / Auditor</t>
  </si>
  <si>
    <r>
      <rPr>
        <sz val="11"/>
        <rFont val="Times New Roman"/>
      </rPr>
      <t xml:space="preserve">Laman </t>
    </r>
    <r>
      <rPr>
        <u/>
        <sz val="11"/>
        <color rgb="FF1155CC"/>
        <rFont val="Times New Roman"/>
      </rPr>
      <t>www.polinema.ac.id</t>
    </r>
    <r>
      <rPr>
        <sz val="11"/>
        <rFont val="Times New Roman"/>
      </rPr>
      <t xml:space="preserve"> </t>
    </r>
  </si>
  <si>
    <t>FORM PERMINTAAN TINDAKAN PERBAIKAN DAN PENCEGAHAN (PTPP)</t>
  </si>
  <si>
    <t>AUDITI:</t>
  </si>
  <si>
    <t>PELAKSANAAN AUDIT:</t>
  </si>
  <si>
    <t>RUANG LINGKUP:</t>
  </si>
  <si>
    <t>TANGGAL AUDIT:</t>
  </si>
  <si>
    <t>WAKIL AUDITI:</t>
  </si>
  <si>
    <t>Auditor 1:</t>
  </si>
  <si>
    <t>Auditor 2:</t>
  </si>
  <si>
    <t>DISTRIBUSI:</t>
  </si>
  <si>
    <t>AUDITI</t>
  </si>
  <si>
    <t>V</t>
  </si>
  <si>
    <t>AUDITOR</t>
  </si>
  <si>
    <t>P2MPP</t>
  </si>
  <si>
    <t>ARSIP</t>
  </si>
  <si>
    <t>STANDAR</t>
  </si>
  <si>
    <t>INDIKATOR</t>
  </si>
  <si>
    <t>HASIL AUDIT</t>
  </si>
  <si>
    <t>AKAR MASALAH</t>
  </si>
  <si>
    <t>AKIBAT</t>
  </si>
  <si>
    <t>KETERCAPAIAN STANDAR</t>
  </si>
  <si>
    <t>TANGGAPAN AUDITI</t>
  </si>
  <si>
    <t>RENCANA PERBAIKAN</t>
  </si>
  <si>
    <t>JADWAL PERBAIKAN</t>
  </si>
  <si>
    <t>PENANGGUNG JAWAB</t>
  </si>
  <si>
    <t>RENCANA PENCEGAHAN</t>
  </si>
  <si>
    <t>JADWAL PENCEGAHAN</t>
  </si>
  <si>
    <t>KONDISI</t>
  </si>
  <si>
    <t>TEMPAT PERSETUJUAN</t>
  </si>
  <si>
    <t>PIMPINAN AUDITI:</t>
  </si>
  <si>
    <t>TANDA TANGAN:</t>
  </si>
  <si>
    <t>AUDITOR:</t>
  </si>
  <si>
    <t>DIREVIEW OLEH:</t>
  </si>
  <si>
    <t>KETUA P2MPP:</t>
  </si>
  <si>
    <t>Lead Auditor: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</si>
</sst>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d\,\ d\ mmmm\ yyyy"/>
    <numFmt numFmtId="165" formatCode="m/d/yyyy\ h:mm:ss"/>
  </numFmts>
  <fonts count="22">
    <font>
      <sz val="11"/>
      <color theme="1"/>
      <name val="Arial"/>
      <scheme val="minor"/>
    </font>
    <font>
      <b/>
      <sz val="16"/>
      <color theme="1"/>
      <name val="Times New Roman"/>
    </font>
    <font>
      <sz val="17"/>
      <color theme="1"/>
      <name val="Times New Roman"/>
    </font>
    <font>
      <sz val="12"/>
      <color theme="1"/>
      <name val="Times New Roman"/>
    </font>
    <font>
      <sz val="11"/>
      <color theme="1"/>
      <name val="Calibri"/>
    </font>
    <font>
      <sz val="16"/>
      <color theme="1"/>
      <name val="Times New Roman"/>
    </font>
    <font>
      <b/>
      <sz val="12"/>
      <color theme="1"/>
      <name val="Times New Roman"/>
    </font>
    <font>
      <sz val="12"/>
      <color rgb="FF000000"/>
      <name val="&quot;Times New Roman&quot;"/>
    </font>
    <font>
      <sz val="14"/>
      <color theme="1"/>
      <name val="Times New Roman"/>
    </font>
    <font>
      <sz val="11"/>
      <color theme="1"/>
      <name val="Arial"/>
    </font>
    <font>
      <sz val="10"/>
      <color theme="1"/>
      <name val="Arial"/>
    </font>
    <font>
      <b/>
      <sz val="11"/>
      <color theme="1"/>
      <name val="Times New Roman"/>
    </font>
    <font>
      <sz val="11"/>
      <color theme="1"/>
      <name val="Times New Roman"/>
    </font>
    <font>
      <u/>
      <sz val="11"/>
      <color rgb="FF0000FF"/>
      <name val="Times New Roman"/>
    </font>
    <font>
      <sz val="11"/>
      <name val="Arial"/>
    </font>
    <font>
      <b/>
      <sz val="12"/>
      <color theme="1"/>
      <name val="Arial"/>
    </font>
    <font>
      <b/>
      <sz val="10"/>
      <color theme="1"/>
      <name val="Arial"/>
    </font>
    <font>
      <u/>
      <sz val="11"/>
      <color rgb="FF0000FF"/>
      <name val="Times New Roman"/>
    </font>
    <font>
      <b/>
      <sz val="10"/>
      <color theme="1"/>
      <name val="Times New Roman"/>
    </font>
    <font>
      <sz val="11"/>
      <name val="Times New Roman"/>
    </font>
    <font>
      <u/>
      <sz val="11"/>
      <color rgb="FF1155CC"/>
      <name val="Times New Roman"/>
    </font>
    <font>
      <u/>
      <sz val="11"/>
      <color theme="10"/>
      <name val="Arial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D5A6BD"/>
        <bgColor rgb="FFD5A6BD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72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vertical="center" wrapText="1"/>
    </xf>
    <xf numFmtId="164" fontId="3" fillId="0" borderId="0" xfId="0" applyNumberFormat="1" applyFont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4" fillId="4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6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21" fillId="0" borderId="1" xfId="1" applyBorder="1" applyAlignment="1">
      <alignment vertical="center" wrapText="1"/>
    </xf>
    <xf numFmtId="0" fontId="10" fillId="9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0" fillId="0" borderId="0" xfId="0"/>
    <xf numFmtId="0" fontId="13" fillId="0" borderId="3" xfId="0" applyFont="1" applyBorder="1" applyAlignment="1">
      <alignment horizontal="center"/>
    </xf>
    <xf numFmtId="0" fontId="14" fillId="0" borderId="3" xfId="0" applyFont="1" applyBorder="1"/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left" vertical="center"/>
    </xf>
    <xf numFmtId="0" fontId="16" fillId="0" borderId="4" xfId="0" applyFont="1" applyBorder="1" applyAlignment="1">
      <alignment horizontal="center" vertical="center"/>
    </xf>
    <xf numFmtId="0" fontId="14" fillId="0" borderId="2" xfId="0" applyFont="1" applyBorder="1"/>
    <xf numFmtId="0" fontId="16" fillId="0" borderId="5" xfId="0" applyFont="1" applyBorder="1" applyAlignment="1">
      <alignment horizontal="center" vertical="center"/>
    </xf>
    <xf numFmtId="0" fontId="14" fillId="0" borderId="6" xfId="0" applyFont="1" applyBorder="1"/>
    <xf numFmtId="0" fontId="16" fillId="8" borderId="8" xfId="0" applyFont="1" applyFill="1" applyBorder="1" applyAlignment="1">
      <alignment vertical="center"/>
    </xf>
    <xf numFmtId="0" fontId="14" fillId="0" borderId="10" xfId="0" applyFont="1" applyBorder="1"/>
    <xf numFmtId="0" fontId="14" fillId="0" borderId="11" xfId="0" applyFont="1" applyBorder="1"/>
    <xf numFmtId="0" fontId="14" fillId="0" borderId="12" xfId="0" applyFont="1" applyBorder="1"/>
    <xf numFmtId="0" fontId="16" fillId="0" borderId="5" xfId="0" applyFont="1" applyBorder="1" applyAlignment="1">
      <alignment vertical="center"/>
    </xf>
    <xf numFmtId="0" fontId="14" fillId="0" borderId="7" xfId="0" applyFont="1" applyBorder="1"/>
    <xf numFmtId="0" fontId="16" fillId="0" borderId="8" xfId="0" applyFont="1" applyBorder="1" applyAlignment="1">
      <alignment vertical="top"/>
    </xf>
    <xf numFmtId="0" fontId="14" fillId="0" borderId="9" xfId="0" applyFont="1" applyBorder="1"/>
    <xf numFmtId="0" fontId="10" fillId="0" borderId="5" xfId="0" applyFont="1" applyBorder="1" applyAlignment="1">
      <alignment vertical="center"/>
    </xf>
    <xf numFmtId="0" fontId="16" fillId="0" borderId="5" xfId="0" applyFont="1" applyBorder="1" applyAlignment="1">
      <alignment horizontal="right" vertical="center"/>
    </xf>
    <xf numFmtId="0" fontId="16" fillId="8" borderId="5" xfId="0" applyFont="1" applyFill="1" applyBorder="1" applyAlignment="1">
      <alignment horizontal="center" vertical="center"/>
    </xf>
    <xf numFmtId="0" fontId="16" fillId="8" borderId="5" xfId="0" applyFont="1" applyFill="1" applyBorder="1" applyAlignment="1">
      <alignment vertical="center"/>
    </xf>
    <xf numFmtId="0" fontId="10" fillId="0" borderId="5" xfId="0" applyFont="1" applyBorder="1" applyAlignment="1">
      <alignment horizontal="center" vertical="center"/>
    </xf>
    <xf numFmtId="0" fontId="16" fillId="0" borderId="5" xfId="0" applyFont="1" applyBorder="1" applyAlignment="1">
      <alignment vertical="top"/>
    </xf>
    <xf numFmtId="0" fontId="16" fillId="0" borderId="5" xfId="0" applyFont="1" applyBorder="1" applyAlignment="1">
      <alignment horizontal="center" vertical="center" wrapText="1"/>
    </xf>
    <xf numFmtId="165" fontId="10" fillId="0" borderId="5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0" fillId="0" borderId="8" xfId="0" applyFont="1" applyBorder="1" applyAlignment="1">
      <alignment vertical="center"/>
    </xf>
    <xf numFmtId="0" fontId="10" fillId="0" borderId="5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3">
    <dxf>
      <fill>
        <patternFill patternType="solid">
          <fgColor rgb="FF00FF00"/>
          <bgColor rgb="FF00FF00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2886075</xdr:colOff>
      <xdr:row>0</xdr:row>
      <xdr:rowOff>19050</xdr:rowOff>
    </xdr:from>
    <xdr:ext cx="1238250" cy="1238250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2733675</xdr:colOff>
      <xdr:row>0</xdr:row>
      <xdr:rowOff>38100</xdr:rowOff>
    </xdr:from>
    <xdr:ext cx="1323975" cy="1333500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polinema.ac.id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polinema.ac.i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zoomScale="49" zoomScaleNormal="48" workbookViewId="0">
      <pane ySplit="6" topLeftCell="A7" activePane="bottomLeft" state="frozen"/>
      <selection pane="bottomLeft" activeCell="C26" sqref="C26"/>
    </sheetView>
  </sheetViews>
  <sheetFormatPr defaultColWidth="12.6640625" defaultRowHeight="15" customHeight="1"/>
  <cols>
    <col min="1" max="1" width="35.1640625" customWidth="1"/>
    <col min="2" max="2" width="69.25" customWidth="1"/>
    <col min="3" max="3" width="56.75" customWidth="1"/>
    <col min="4" max="5" width="39.6640625" customWidth="1"/>
    <col min="6" max="8" width="25.25" customWidth="1"/>
  </cols>
  <sheetData>
    <row r="1" spans="1:8" ht="30" customHeight="1">
      <c r="A1" s="1" t="s">
        <v>0</v>
      </c>
      <c r="B1" s="2"/>
      <c r="C1" s="3"/>
      <c r="D1" s="4"/>
      <c r="E1" s="4"/>
      <c r="F1" s="5"/>
      <c r="G1" s="5"/>
      <c r="H1" s="5"/>
    </row>
    <row r="2" spans="1:8" ht="20.25" customHeight="1">
      <c r="A2" s="1" t="s">
        <v>1</v>
      </c>
      <c r="B2" s="2"/>
      <c r="C2" s="3"/>
      <c r="D2" s="4"/>
      <c r="E2" s="4"/>
      <c r="F2" s="5"/>
      <c r="G2" s="5"/>
      <c r="H2" s="5"/>
    </row>
    <row r="3" spans="1:8" ht="27.5" customHeight="1">
      <c r="A3" s="6" t="s">
        <v>2</v>
      </c>
      <c r="B3" s="6"/>
      <c r="C3" s="7"/>
      <c r="D3" s="4"/>
      <c r="E3" s="4"/>
      <c r="F3" s="5"/>
      <c r="G3" s="5"/>
      <c r="H3" s="5"/>
    </row>
    <row r="4" spans="1:8" ht="23.5" customHeight="1">
      <c r="A4" s="4"/>
      <c r="B4" s="4"/>
      <c r="C4" s="3"/>
      <c r="D4" s="4"/>
      <c r="E4" s="4"/>
      <c r="F4" s="8" t="s">
        <v>3</v>
      </c>
      <c r="G4" s="8" t="s">
        <v>4</v>
      </c>
      <c r="H4" s="5"/>
    </row>
    <row r="5" spans="1:8" ht="26" customHeight="1">
      <c r="A5" s="9"/>
      <c r="B5" s="4"/>
      <c r="C5" s="3"/>
      <c r="D5" s="4"/>
      <c r="E5" s="4"/>
      <c r="F5" s="10"/>
      <c r="G5" s="10"/>
      <c r="H5" s="5"/>
    </row>
    <row r="6" spans="1:8" ht="54" customHeight="1">
      <c r="A6" s="11" t="s">
        <v>5</v>
      </c>
      <c r="B6" s="11" t="s">
        <v>6</v>
      </c>
      <c r="C6" s="11" t="s">
        <v>7</v>
      </c>
      <c r="D6" s="11" t="s">
        <v>8</v>
      </c>
      <c r="E6" s="11" t="s">
        <v>9</v>
      </c>
      <c r="F6" s="12" t="s">
        <v>10</v>
      </c>
      <c r="G6" s="12" t="s">
        <v>10</v>
      </c>
      <c r="H6" s="12" t="s">
        <v>11</v>
      </c>
    </row>
    <row r="7" spans="1:8" ht="81.75" customHeight="1">
      <c r="A7" s="13"/>
      <c r="B7" s="14"/>
      <c r="C7" s="15"/>
      <c r="D7" s="16"/>
      <c r="E7" s="33"/>
      <c r="F7" s="17"/>
      <c r="G7" s="17"/>
      <c r="H7" s="18"/>
    </row>
  </sheetData>
  <dataValidations count="2">
    <dataValidation type="list" allowBlank="1" showErrorMessage="1" sqref="H7" xr:uid="{00000000-0002-0000-0000-000000000000}">
      <formula1>"CLOSED,OPEN"</formula1>
    </dataValidation>
    <dataValidation type="list" allowBlank="1" showErrorMessage="1" sqref="B2" xr:uid="{00000000-0002-0000-0000-000001000000}">
      <formula1>"JURUSAN ADMINISTRASI NIAGA,JURUSAN AKUNTANSI,JURUSAN TEKNIK ELEKTRO,JURUSAN TEKNOLOGI INFORMASI,JURUSAN TEKNIK KIMIA,JURUSAN TEKNIK MESIN,JURUSAN TEKNIK SIPIL,PSDKU KEDIRI,PSDKU LUMAJANG,PSDKU PAMEKASAN,PUSAT"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Z1000"/>
  <sheetViews>
    <sheetView zoomScale="85" zoomScaleNormal="70" workbookViewId="0">
      <pane ySplit="12" topLeftCell="A13" activePane="bottomLeft" state="frozen"/>
      <selection pane="bottomLeft" activeCell="C16" sqref="C16"/>
    </sheetView>
  </sheetViews>
  <sheetFormatPr defaultColWidth="12.6640625" defaultRowHeight="15" customHeight="1"/>
  <cols>
    <col min="1" max="1" width="6.4140625" customWidth="1"/>
    <col min="2" max="2" width="44" customWidth="1"/>
    <col min="3" max="3" width="34.25" customWidth="1"/>
    <col min="4" max="4" width="43.4140625" customWidth="1"/>
    <col min="5" max="5" width="23.5" customWidth="1"/>
    <col min="6" max="6" width="17.9140625" customWidth="1"/>
  </cols>
  <sheetData>
    <row r="1" spans="1:26" ht="18">
      <c r="A1" s="39" t="s">
        <v>12</v>
      </c>
      <c r="B1" s="36"/>
      <c r="C1" s="36"/>
      <c r="D1" s="36"/>
      <c r="E1" s="36"/>
      <c r="F1" s="36"/>
      <c r="G1" s="36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20"/>
    </row>
    <row r="2" spans="1:26" ht="18">
      <c r="A2" s="39" t="s">
        <v>13</v>
      </c>
      <c r="B2" s="36"/>
      <c r="C2" s="36"/>
      <c r="D2" s="36"/>
      <c r="E2" s="36"/>
      <c r="F2" s="36"/>
      <c r="G2" s="36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20"/>
    </row>
    <row r="3" spans="1:26" ht="15.5">
      <c r="A3" s="40" t="s">
        <v>14</v>
      </c>
      <c r="B3" s="36"/>
      <c r="C3" s="36"/>
      <c r="D3" s="36"/>
      <c r="E3" s="36"/>
      <c r="F3" s="36"/>
      <c r="G3" s="36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0"/>
    </row>
    <row r="4" spans="1:26" ht="14">
      <c r="A4" s="41" t="s">
        <v>15</v>
      </c>
      <c r="B4" s="36"/>
      <c r="C4" s="36"/>
      <c r="D4" s="36"/>
      <c r="E4" s="36"/>
      <c r="F4" s="36"/>
      <c r="G4" s="36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20"/>
    </row>
    <row r="5" spans="1:26" ht="14">
      <c r="A5" s="35" t="s">
        <v>16</v>
      </c>
      <c r="B5" s="36"/>
      <c r="C5" s="36"/>
      <c r="D5" s="36"/>
      <c r="E5" s="36"/>
      <c r="F5" s="36"/>
      <c r="G5" s="36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20"/>
    </row>
    <row r="6" spans="1:26" ht="14">
      <c r="A6" s="35" t="s">
        <v>17</v>
      </c>
      <c r="B6" s="36"/>
      <c r="C6" s="36"/>
      <c r="D6" s="36"/>
      <c r="E6" s="36"/>
      <c r="F6" s="36"/>
      <c r="G6" s="36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20"/>
    </row>
    <row r="7" spans="1:26" ht="14">
      <c r="A7" s="37" t="s">
        <v>18</v>
      </c>
      <c r="B7" s="38"/>
      <c r="C7" s="38"/>
      <c r="D7" s="38"/>
      <c r="E7" s="38"/>
      <c r="F7" s="38"/>
      <c r="G7" s="38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20"/>
    </row>
    <row r="8" spans="1:26" ht="15.5">
      <c r="A8" s="42" t="s">
        <v>19</v>
      </c>
      <c r="B8" s="36"/>
      <c r="C8" s="36"/>
      <c r="D8" s="36"/>
      <c r="E8" s="36"/>
      <c r="F8" s="36"/>
      <c r="G8" s="36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4">
      <c r="A9" s="21"/>
      <c r="B9" s="21" t="s">
        <v>20</v>
      </c>
      <c r="C9" s="21" t="s">
        <v>21</v>
      </c>
      <c r="D9" s="21" t="s">
        <v>22</v>
      </c>
      <c r="E9" s="21" t="s">
        <v>23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4">
      <c r="A10" s="22"/>
      <c r="B10" s="22" t="s">
        <v>24</v>
      </c>
      <c r="C10" s="23" t="str">
        <f>'Instrumen Audit SPMI 2021'!B1&amp;" "&amp;'Instrumen Audit SPMI 2021'!B2</f>
        <v xml:space="preserve"> </v>
      </c>
      <c r="D10" s="23"/>
      <c r="E10" s="22" t="s">
        <v>25</v>
      </c>
      <c r="F10" s="43"/>
      <c r="G10" s="36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4">
      <c r="A11" s="44" t="s">
        <v>26</v>
      </c>
      <c r="B11" s="44" t="s">
        <v>6</v>
      </c>
      <c r="C11" s="44" t="s">
        <v>27</v>
      </c>
      <c r="D11" s="44" t="s">
        <v>28</v>
      </c>
      <c r="E11" s="44" t="s">
        <v>29</v>
      </c>
      <c r="F11" s="46" t="s">
        <v>30</v>
      </c>
      <c r="G11" s="47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4">
      <c r="A12" s="45"/>
      <c r="B12" s="45"/>
      <c r="C12" s="45"/>
      <c r="D12" s="45"/>
      <c r="E12" s="45"/>
      <c r="F12" s="24" t="s">
        <v>31</v>
      </c>
      <c r="G12" s="24" t="s">
        <v>32</v>
      </c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79.5" customHeight="1">
      <c r="A13" s="25"/>
      <c r="B13" s="26"/>
      <c r="C13" s="26"/>
      <c r="D13" s="26"/>
      <c r="E13" s="25"/>
      <c r="F13" s="27"/>
      <c r="G13" s="34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5" customHeight="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</row>
    <row r="15" spans="1:26" ht="38" customHeight="1">
      <c r="A15" s="20"/>
      <c r="B15" s="20"/>
      <c r="C15" s="20"/>
      <c r="D15" s="20"/>
      <c r="E15" s="27" t="s">
        <v>33</v>
      </c>
      <c r="F15" s="27" t="s">
        <v>34</v>
      </c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</row>
    <row r="16" spans="1:26" ht="75.5" customHeight="1">
      <c r="A16" s="20"/>
      <c r="B16" s="20"/>
      <c r="C16" s="20"/>
      <c r="D16" s="20"/>
      <c r="E16" s="26"/>
      <c r="F16" s="26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</row>
    <row r="17" spans="1:19" ht="27.5" customHeight="1">
      <c r="A17" s="20"/>
      <c r="B17" s="20"/>
      <c r="C17" s="20"/>
      <c r="D17" s="20"/>
      <c r="E17" s="27"/>
      <c r="F17" s="27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</row>
    <row r="18" spans="1:19" ht="25.5" customHeight="1">
      <c r="A18" s="20"/>
      <c r="B18" s="20"/>
      <c r="C18" s="20"/>
      <c r="D18" s="20"/>
      <c r="E18" s="28"/>
      <c r="F18" s="28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</row>
    <row r="19" spans="1:19" ht="79.5" customHeight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</row>
    <row r="20" spans="1:19" ht="79.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</row>
    <row r="21" spans="1:19" ht="79.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</row>
    <row r="22" spans="1:19" ht="79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</row>
    <row r="23" spans="1:19" ht="79.5" hidden="1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</row>
    <row r="24" spans="1:19" ht="102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</row>
    <row r="25" spans="1:19" ht="36.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</row>
    <row r="26" spans="1:19" ht="20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</row>
    <row r="27" spans="1:19" ht="46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</row>
    <row r="28" spans="1:19" ht="49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</row>
    <row r="29" spans="1:19" ht="28.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</row>
    <row r="30" spans="1:19" ht="33.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</row>
    <row r="31" spans="1:19" ht="54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</row>
    <row r="32" spans="1:19" ht="72.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</row>
    <row r="33" spans="1:19" ht="79.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</row>
    <row r="34" spans="1:19" ht="14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</row>
    <row r="35" spans="1:19" ht="59.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</row>
    <row r="36" spans="1:19" ht="69.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</row>
    <row r="37" spans="1:19" ht="80.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</row>
    <row r="38" spans="1:19" ht="96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</row>
    <row r="39" spans="1:19" ht="79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</row>
    <row r="40" spans="1:19" ht="89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</row>
    <row r="41" spans="1:19" ht="32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</row>
    <row r="42" spans="1:19" ht="25.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</row>
    <row r="43" spans="1:19" ht="24.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</row>
    <row r="44" spans="1:19" ht="23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</row>
    <row r="45" spans="1:19" ht="43.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</row>
    <row r="46" spans="1:19" ht="3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</row>
    <row r="47" spans="1:19" ht="41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</row>
    <row r="48" spans="1:19" ht="33.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</row>
    <row r="49" spans="1:19" ht="24.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</row>
    <row r="50" spans="1:19" ht="24.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</row>
    <row r="51" spans="1:19" ht="30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</row>
    <row r="52" spans="1:19" ht="22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</row>
    <row r="53" spans="1:19" ht="43.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</row>
    <row r="54" spans="1:19" ht="49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</row>
    <row r="55" spans="1:19" ht="35.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</row>
    <row r="56" spans="1:19" ht="28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</row>
    <row r="57" spans="1:19" ht="47.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</row>
    <row r="58" spans="1:19" ht="35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</row>
    <row r="59" spans="1:19" ht="49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</row>
    <row r="60" spans="1:19" ht="36.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</row>
    <row r="61" spans="1:19" ht="34.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</row>
    <row r="62" spans="1:19" ht="27.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</row>
    <row r="63" spans="1:19" ht="34.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</row>
    <row r="64" spans="1:19" ht="43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</row>
    <row r="65" spans="1:19" ht="30.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</row>
    <row r="66" spans="1:19" ht="33.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</row>
    <row r="67" spans="1:19" ht="50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</row>
    <row r="68" spans="1:19" ht="8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</row>
    <row r="69" spans="1:19" ht="41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</row>
    <row r="70" spans="1:19" ht="3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</row>
    <row r="71" spans="1:19" ht="58.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</row>
    <row r="72" spans="1:19" ht="63.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</row>
    <row r="73" spans="1:19" ht="34.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</row>
    <row r="74" spans="1:19" ht="47.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1:19" ht="27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1:19" ht="36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1:19" ht="3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1:19" ht="21.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1:19" ht="42.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1:19" ht="54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1:19" ht="59.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1:19" ht="50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1:19" ht="80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1:19" ht="6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1:19" ht="61.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1:19" ht="62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1:19" ht="38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1:19" ht="62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1:19" ht="61.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1:19" ht="52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1:19" ht="59.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1:19" ht="62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1:19" ht="53.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1:19" ht="62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1:19" ht="52.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1:19" ht="41.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1:26" ht="43.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1:26" ht="54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1:26" ht="55.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1:26" ht="62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1:26" ht="62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1:26" ht="60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1:26" ht="62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1:26" ht="81.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1:26" ht="52.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1:2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37.5" customHeight="1">
      <c r="A107" s="20"/>
      <c r="B107" s="20"/>
      <c r="C107" s="20"/>
      <c r="D107" s="20"/>
      <c r="E107" s="27" t="s">
        <v>33</v>
      </c>
      <c r="F107" s="27" t="s">
        <v>34</v>
      </c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75.75" customHeight="1">
      <c r="A108" s="20"/>
      <c r="B108" s="20"/>
      <c r="C108" s="20"/>
      <c r="D108" s="20"/>
      <c r="E108" s="26"/>
      <c r="F108" s="26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23.25" customHeight="1">
      <c r="A109" s="20"/>
      <c r="B109" s="20"/>
      <c r="C109" s="20"/>
      <c r="D109" s="20"/>
      <c r="E109" s="27"/>
      <c r="F109" s="27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23.25" customHeight="1">
      <c r="A110" s="20"/>
      <c r="B110" s="20"/>
      <c r="C110" s="20"/>
      <c r="D110" s="20"/>
      <c r="E110" s="28"/>
      <c r="F110" s="28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5.75" customHeight="1">
      <c r="A111" s="20"/>
      <c r="B111" s="20"/>
      <c r="C111" s="20"/>
      <c r="D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5.75" customHeight="1">
      <c r="A112" s="20"/>
      <c r="B112" s="20"/>
      <c r="C112" s="20"/>
      <c r="D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ht="15.7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ht="15.7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ht="15.7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spans="1:26" ht="15.7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spans="1:26" ht="15.7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spans="1:26" ht="15.7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spans="1:26" ht="15.7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spans="1:26" ht="15.7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spans="1:26" ht="15.7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spans="1:26" ht="15.7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spans="1:26" ht="15.7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spans="1:26" ht="15.7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spans="1:26" ht="15.7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spans="1:26" ht="15.7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spans="1:26" ht="15.7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spans="1:26" ht="15.7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spans="1:26" ht="15.7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spans="1:26" ht="15.7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spans="1:26" ht="15.7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spans="1:26" ht="15.7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spans="1:26" ht="15.7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spans="1:26" ht="15.7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spans="1:26" ht="15.7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spans="1:26" ht="15.7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spans="1:26" ht="15.7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spans="1:26" ht="15.7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spans="1:26" ht="15.7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spans="1:26" ht="15.7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spans="1:26" ht="15.7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spans="1:26" ht="15.7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spans="1:26" ht="15.7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spans="1:26" ht="15.7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spans="1:26" ht="15.7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spans="1:26" ht="15.7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spans="1:26" ht="15.7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spans="1:26" ht="15.7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spans="1:26" ht="15.7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spans="1:26" ht="15.7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spans="1:26" ht="15.7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spans="1:26" ht="15.7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spans="1:26" ht="15.7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spans="1:26" ht="15.7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spans="1:26" ht="15.7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spans="1:26" ht="15.7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spans="1:26" ht="15.7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spans="1:26" ht="15.7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spans="1:26" ht="15.7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spans="1:26" ht="15.7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spans="1:26" ht="15.7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spans="1:26" ht="15.7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spans="1:26" ht="15.7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spans="1:26" ht="15.7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spans="1:26" ht="15.7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spans="1:26" ht="15.7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spans="1:26" ht="15.7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spans="1:26" ht="15.7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spans="1:26" ht="15.7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spans="1:26" ht="15.7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spans="1:26" ht="15.7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spans="1:26" ht="15.7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spans="1:26" ht="15.7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spans="1:26" ht="15.7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spans="1:26" ht="15.7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spans="1:26" ht="15.7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spans="1:26" ht="15.7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spans="1:26" ht="15.7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spans="1:26" ht="15.7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spans="1:26" ht="15.7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spans="1:26" ht="15.7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spans="1:26" ht="15.7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spans="1:26" ht="15.7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spans="1:26" ht="15.7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spans="1:26" ht="15.7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spans="1:26" ht="15.7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spans="1:26" ht="15.7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spans="1:26" ht="15.7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spans="1:26" ht="15.7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spans="1:26" ht="15.7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spans="1:26" ht="15.7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spans="1:26" ht="15.7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spans="1:26" ht="15.7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spans="1:26" ht="15.7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spans="1:26" ht="15.7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spans="1:26" ht="15.7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spans="1:26" ht="15.7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spans="1:26" ht="15.7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spans="1:26" ht="15.7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spans="1:26" ht="15.7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spans="1:26" ht="15.7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spans="1:26" ht="15.7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spans="1:26" ht="15.75" customHeight="1"/>
    <row r="312" spans="1:26" ht="15.75" customHeight="1"/>
    <row r="313" spans="1:26" ht="15.75" customHeight="1"/>
    <row r="314" spans="1:26" ht="15.75" customHeight="1"/>
    <row r="315" spans="1:26" ht="15.75" customHeight="1"/>
    <row r="316" spans="1:26" ht="15.75" customHeight="1"/>
    <row r="317" spans="1:26" ht="15.75" customHeight="1"/>
    <row r="318" spans="1:26" ht="15.75" customHeight="1"/>
    <row r="319" spans="1:26" ht="15.75" customHeight="1"/>
    <row r="320" spans="1:26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8:G8"/>
    <mergeCell ref="F10:G10"/>
    <mergeCell ref="A11:A12"/>
    <mergeCell ref="B11:B12"/>
    <mergeCell ref="C11:C12"/>
    <mergeCell ref="D11:D12"/>
    <mergeCell ref="E11:E12"/>
    <mergeCell ref="F11:G11"/>
    <mergeCell ref="A6:G6"/>
    <mergeCell ref="A7:G7"/>
    <mergeCell ref="A1:G1"/>
    <mergeCell ref="A2:G2"/>
    <mergeCell ref="A3:G3"/>
    <mergeCell ref="A4:G4"/>
    <mergeCell ref="A5:G5"/>
  </mergeCells>
  <conditionalFormatting sqref="G13">
    <cfRule type="containsText" dxfId="2" priority="1" operator="containsText" text="OPEN">
      <formula>NOT(ISERROR(SEARCH(("OPEN"),(G13))))</formula>
    </cfRule>
    <cfRule type="notContainsText" dxfId="1" priority="2" operator="notContains" text="OPEN">
      <formula>ISERROR(SEARCH(("OPEN"),(G13)))</formula>
    </cfRule>
  </conditionalFormatting>
  <hyperlinks>
    <hyperlink ref="A7" r:id="rId1" xr:uid="{00000000-0004-0000-0100-000000000000}"/>
  </hyperlinks>
  <printOptions horizontalCentered="1"/>
  <pageMargins left="0.7" right="0.7" top="0.75" bottom="0.75" header="0" footer="0"/>
  <pageSetup paperSize="9" fitToHeight="0" pageOrder="overThenDown" orientation="landscape" cellComments="atEnd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Z25"/>
  <sheetViews>
    <sheetView topLeftCell="A4" zoomScale="62" workbookViewId="0">
      <selection activeCell="F31" sqref="F31"/>
    </sheetView>
  </sheetViews>
  <sheetFormatPr defaultColWidth="12.6640625" defaultRowHeight="15" customHeight="1"/>
  <cols>
    <col min="1" max="1" width="6.75" customWidth="1"/>
    <col min="2" max="2" width="33.1640625" customWidth="1"/>
    <col min="3" max="3" width="36.4140625" customWidth="1"/>
    <col min="4" max="4" width="37.25" customWidth="1"/>
    <col min="5" max="5" width="17.25" customWidth="1"/>
    <col min="6" max="6" width="17.9140625" customWidth="1"/>
    <col min="7" max="7" width="16" customWidth="1"/>
    <col min="8" max="8" width="20.75" customWidth="1"/>
    <col min="9" max="9" width="14.1640625" customWidth="1"/>
    <col min="10" max="10" width="13.75" customWidth="1"/>
  </cols>
  <sheetData>
    <row r="1" spans="1:26" ht="15.75" customHeight="1">
      <c r="A1" s="69" t="s">
        <v>12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3"/>
    </row>
    <row r="2" spans="1:26" ht="15.75" customHeight="1">
      <c r="A2" s="69" t="s">
        <v>13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3"/>
    </row>
    <row r="3" spans="1:26" ht="15.75" customHeight="1">
      <c r="A3" s="70" t="s">
        <v>14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3"/>
    </row>
    <row r="4" spans="1:26" ht="15.75" customHeight="1">
      <c r="A4" s="71" t="s">
        <v>15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3"/>
    </row>
    <row r="5" spans="1:26" ht="15.75" customHeight="1">
      <c r="A5" s="64" t="s">
        <v>16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3"/>
    </row>
    <row r="6" spans="1:26" ht="15.75" customHeight="1">
      <c r="A6" s="64" t="s">
        <v>17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3"/>
    </row>
    <row r="7" spans="1:26" ht="15.75" customHeight="1">
      <c r="A7" s="65" t="s">
        <v>35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3"/>
    </row>
    <row r="8" spans="1:26" ht="10.5" customHeight="1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 ht="15.75" customHeight="1">
      <c r="A9" s="66" t="s">
        <v>36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 ht="15.75" customHeight="1">
      <c r="A10" s="62" t="s">
        <v>37</v>
      </c>
      <c r="B10" s="53"/>
      <c r="C10" s="47"/>
      <c r="D10" s="67"/>
      <c r="E10" s="55"/>
      <c r="F10" s="55"/>
      <c r="G10" s="55"/>
      <c r="H10" s="55"/>
      <c r="I10" s="55"/>
      <c r="J10" s="55"/>
      <c r="K10" s="55"/>
      <c r="L10" s="55"/>
      <c r="M10" s="49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 ht="15.75" customHeight="1">
      <c r="A11" s="68" t="str">
        <f>'Hasil AMI  Tindak lanjut'!C10</f>
        <v xml:space="preserve"> </v>
      </c>
      <c r="B11" s="53"/>
      <c r="C11" s="47"/>
      <c r="D11" s="50"/>
      <c r="E11" s="38"/>
      <c r="F11" s="38"/>
      <c r="G11" s="38"/>
      <c r="H11" s="38"/>
      <c r="I11" s="38"/>
      <c r="J11" s="38"/>
      <c r="K11" s="38"/>
      <c r="L11" s="38"/>
      <c r="M11" s="51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 ht="15.75" customHeight="1">
      <c r="A12" s="62" t="s">
        <v>38</v>
      </c>
      <c r="B12" s="53"/>
      <c r="C12" s="47"/>
      <c r="D12" s="52" t="s">
        <v>39</v>
      </c>
      <c r="E12" s="53"/>
      <c r="F12" s="53"/>
      <c r="G12" s="53"/>
      <c r="H12" s="47"/>
      <c r="I12" s="46" t="s">
        <v>40</v>
      </c>
      <c r="J12" s="53"/>
      <c r="K12" s="53"/>
      <c r="L12" s="53"/>
      <c r="M12" s="47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 ht="15.75" customHeight="1">
      <c r="A13" s="60"/>
      <c r="B13" s="53"/>
      <c r="C13" s="47"/>
      <c r="D13" s="56"/>
      <c r="E13" s="53"/>
      <c r="F13" s="53"/>
      <c r="G13" s="53"/>
      <c r="H13" s="47"/>
      <c r="I13" s="63"/>
      <c r="J13" s="53"/>
      <c r="K13" s="53"/>
      <c r="L13" s="53"/>
      <c r="M13" s="47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 ht="15.75" customHeight="1">
      <c r="A14" s="62" t="s">
        <v>41</v>
      </c>
      <c r="B14" s="53"/>
      <c r="C14" s="47"/>
      <c r="D14" s="52" t="s">
        <v>42</v>
      </c>
      <c r="E14" s="53"/>
      <c r="F14" s="53"/>
      <c r="G14" s="53"/>
      <c r="H14" s="47"/>
      <c r="I14" s="52" t="s">
        <v>43</v>
      </c>
      <c r="J14" s="53"/>
      <c r="K14" s="53"/>
      <c r="L14" s="53"/>
      <c r="M14" s="47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15.75" customHeight="1">
      <c r="A15" s="60"/>
      <c r="B15" s="53"/>
      <c r="C15" s="47"/>
      <c r="D15" s="56"/>
      <c r="E15" s="53"/>
      <c r="F15" s="53"/>
      <c r="G15" s="53"/>
      <c r="H15" s="47"/>
      <c r="I15" s="56"/>
      <c r="J15" s="53"/>
      <c r="K15" s="53"/>
      <c r="L15" s="53"/>
      <c r="M15" s="47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 ht="15.75" customHeight="1">
      <c r="A16" s="57" t="s">
        <v>44</v>
      </c>
      <c r="B16" s="53"/>
      <c r="C16" s="53"/>
      <c r="D16" s="53"/>
      <c r="E16" s="47"/>
      <c r="F16" s="24" t="s">
        <v>45</v>
      </c>
      <c r="G16" s="25" t="s">
        <v>46</v>
      </c>
      <c r="H16" s="24" t="s">
        <v>47</v>
      </c>
      <c r="I16" s="25" t="s">
        <v>46</v>
      </c>
      <c r="J16" s="24" t="s">
        <v>48</v>
      </c>
      <c r="K16" s="25" t="s">
        <v>46</v>
      </c>
      <c r="L16" s="24" t="s">
        <v>49</v>
      </c>
      <c r="M16" s="25" t="s">
        <v>46</v>
      </c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 ht="15.75" customHeight="1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 ht="37.5" customHeight="1">
      <c r="A18" s="31" t="s">
        <v>50</v>
      </c>
      <c r="B18" s="31" t="s">
        <v>51</v>
      </c>
      <c r="C18" s="31" t="s">
        <v>52</v>
      </c>
      <c r="D18" s="31" t="s">
        <v>53</v>
      </c>
      <c r="E18" s="31" t="s">
        <v>54</v>
      </c>
      <c r="F18" s="31" t="s">
        <v>55</v>
      </c>
      <c r="G18" s="31" t="s">
        <v>56</v>
      </c>
      <c r="H18" s="31" t="s">
        <v>57</v>
      </c>
      <c r="I18" s="31" t="s">
        <v>58</v>
      </c>
      <c r="J18" s="31" t="s">
        <v>59</v>
      </c>
      <c r="K18" s="31" t="s">
        <v>60</v>
      </c>
      <c r="L18" s="31" t="s">
        <v>61</v>
      </c>
      <c r="M18" s="31" t="s">
        <v>62</v>
      </c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 ht="85.5" customHeight="1">
      <c r="A19" s="25"/>
      <c r="B19" s="26"/>
      <c r="C19" s="32"/>
      <c r="D19" s="26"/>
      <c r="E19" s="27"/>
      <c r="F19" s="25"/>
      <c r="G19" s="25"/>
      <c r="H19" s="32"/>
      <c r="I19" s="32"/>
      <c r="J19" s="27"/>
      <c r="K19" s="27"/>
      <c r="L19" s="25"/>
      <c r="M19" s="27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 ht="18" customHeight="1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</row>
    <row r="21" spans="1:26" ht="19.5" customHeight="1">
      <c r="A21" s="58" t="s">
        <v>63</v>
      </c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47"/>
    </row>
    <row r="22" spans="1:26" ht="65.5" customHeight="1">
      <c r="A22" s="59" t="s">
        <v>64</v>
      </c>
      <c r="B22" s="47"/>
      <c r="C22" s="60"/>
      <c r="D22" s="47"/>
      <c r="E22" s="61" t="s">
        <v>65</v>
      </c>
      <c r="F22" s="47"/>
      <c r="G22" s="59" t="s">
        <v>66</v>
      </c>
      <c r="H22" s="47"/>
      <c r="I22" s="56"/>
      <c r="J22" s="53"/>
      <c r="K22" s="47"/>
      <c r="L22" s="61" t="s">
        <v>65</v>
      </c>
      <c r="M22" s="47"/>
    </row>
    <row r="23" spans="1:26" ht="18" customHeight="1">
      <c r="A23" s="58" t="s">
        <v>67</v>
      </c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47"/>
    </row>
    <row r="24" spans="1:26" ht="31.5" customHeight="1">
      <c r="A24" s="48" t="s">
        <v>68</v>
      </c>
      <c r="B24" s="49"/>
      <c r="C24" s="52" t="s">
        <v>69</v>
      </c>
      <c r="D24" s="53"/>
      <c r="E24" s="53"/>
      <c r="F24" s="47"/>
      <c r="G24" s="54" t="s">
        <v>65</v>
      </c>
      <c r="H24" s="55"/>
      <c r="I24" s="55"/>
      <c r="J24" s="55"/>
      <c r="K24" s="55"/>
      <c r="L24" s="55"/>
      <c r="M24" s="49"/>
    </row>
    <row r="25" spans="1:26" ht="33" customHeight="1">
      <c r="A25" s="50"/>
      <c r="B25" s="51"/>
      <c r="C25" s="56"/>
      <c r="D25" s="53"/>
      <c r="E25" s="53"/>
      <c r="F25" s="47"/>
      <c r="G25" s="50"/>
      <c r="H25" s="38"/>
      <c r="I25" s="38"/>
      <c r="J25" s="38"/>
      <c r="K25" s="38"/>
      <c r="L25" s="38"/>
      <c r="M25" s="51"/>
    </row>
  </sheetData>
  <mergeCells count="36">
    <mergeCell ref="A1:M1"/>
    <mergeCell ref="A2:M2"/>
    <mergeCell ref="A3:M3"/>
    <mergeCell ref="A4:M4"/>
    <mergeCell ref="A5:M5"/>
    <mergeCell ref="A6:M6"/>
    <mergeCell ref="A7:M7"/>
    <mergeCell ref="A9:M9"/>
    <mergeCell ref="A10:C10"/>
    <mergeCell ref="D10:M11"/>
    <mergeCell ref="A11:C11"/>
    <mergeCell ref="A12:C12"/>
    <mergeCell ref="D12:H12"/>
    <mergeCell ref="I12:M12"/>
    <mergeCell ref="D15:H15"/>
    <mergeCell ref="I15:M15"/>
    <mergeCell ref="A13:C13"/>
    <mergeCell ref="D13:H13"/>
    <mergeCell ref="I13:M13"/>
    <mergeCell ref="A14:C14"/>
    <mergeCell ref="D14:H14"/>
    <mergeCell ref="I14:M14"/>
    <mergeCell ref="A15:C15"/>
    <mergeCell ref="A24:B25"/>
    <mergeCell ref="C24:F24"/>
    <mergeCell ref="G24:M25"/>
    <mergeCell ref="C25:F25"/>
    <mergeCell ref="A16:E16"/>
    <mergeCell ref="A21:M21"/>
    <mergeCell ref="A22:B22"/>
    <mergeCell ref="C22:D22"/>
    <mergeCell ref="E22:F22"/>
    <mergeCell ref="G22:H22"/>
    <mergeCell ref="I22:K22"/>
    <mergeCell ref="L22:M22"/>
    <mergeCell ref="A23:M23"/>
  </mergeCells>
  <conditionalFormatting sqref="M19">
    <cfRule type="containsText" dxfId="0" priority="1" operator="containsText" text="closed">
      <formula>NOT(ISERROR(SEARCH(("closed"),(M19))))</formula>
    </cfRule>
  </conditionalFormatting>
  <hyperlinks>
    <hyperlink ref="A7" r:id="rId1" xr:uid="{00000000-0004-0000-0200-000000000000}"/>
  </hyperlinks>
  <printOptions horizontalCentered="1"/>
  <pageMargins left="0.25" right="0.25" top="0.75" bottom="0.75" header="0" footer="0"/>
  <pageSetup paperSize="9" fitToHeight="0" pageOrder="overThenDown" orientation="landscape" cellComments="atEnd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Instrumen Audit SPMI 2021</vt:lpstr>
      <vt:lpstr>Hasil AMI  Tindak lanjut</vt:lpstr>
      <vt:lpstr>PTPP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IKRAR</dc:creator>
  <cp:lastModifiedBy>NurFajrin</cp:lastModifiedBy>
  <dcterms:created xsi:type="dcterms:W3CDTF">2025-06-03T02:21:22Z</dcterms:created>
  <dcterms:modified xsi:type="dcterms:W3CDTF">2026-05-20T12:20:02Z</dcterms:modified>
</cp:coreProperties>
</file>