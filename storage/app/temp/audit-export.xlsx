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Kuliah\ss-06\TugasAkhir\"/>
    </mc:Choice>
  </mc:AlternateContent>
  <xr:revisionPtr revIDLastSave="0" documentId="13_ncr:1_{63BE7C6C-D153-47A6-AB16-4B95DB3EBF59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Instrumen Audit SPMI 2021" sheetId="1" r:id="rId1"/>
    <sheet name="Hasil AMI  Tindak lanjut" sheetId="2" r:id="rId2"/>
    <sheet name="PTPP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ZIMCyV3Zl2dcKHuW9bB0TnDxTfhL8fhG9LOQKZFtRd4="/>
    </ext>
  </extLst>
</workbook>
</file>

<file path=xl/calcChain.xml><?xml version="1.0" encoding="utf-8"?>
<calcChain xmlns="http://schemas.openxmlformats.org/spreadsheetml/2006/main">
  <c r="C10" i="2" l="1"/>
  <c r="A11" i="3" s="1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D35" i="3"/>
  <c r="C35" i="3"/>
  <c r="B19" i="3"/>
  <c r="G105" i="2"/>
  <c r="D105" i="2"/>
  <c r="C105" i="2"/>
  <c r="B105" i="2"/>
  <c r="A105" i="2"/>
  <c r="G104" i="2"/>
  <c r="F104" i="2"/>
  <c r="E104" i="2"/>
  <c r="D104" i="2"/>
  <c r="C104" i="2"/>
  <c r="B104" i="2"/>
  <c r="A104" i="2"/>
  <c r="G103" i="2"/>
  <c r="D103" i="2"/>
  <c r="C103" i="2"/>
  <c r="B103" i="2"/>
  <c r="A103" i="2"/>
  <c r="G102" i="2"/>
  <c r="D102" i="2"/>
  <c r="C102" i="2"/>
  <c r="B102" i="2"/>
  <c r="A102" i="2"/>
  <c r="G101" i="2"/>
  <c r="E101" i="2" s="1"/>
  <c r="F101" i="2"/>
  <c r="D101" i="2"/>
  <c r="C101" i="2"/>
  <c r="B101" i="2"/>
  <c r="A101" i="2"/>
  <c r="G100" i="2"/>
  <c r="F100" i="2"/>
  <c r="E100" i="2"/>
  <c r="D100" i="2"/>
  <c r="C100" i="2"/>
  <c r="B100" i="2"/>
  <c r="A100" i="2"/>
  <c r="G99" i="2"/>
  <c r="F99" i="2"/>
  <c r="E99" i="2"/>
  <c r="D99" i="2"/>
  <c r="C99" i="2"/>
  <c r="B99" i="2"/>
  <c r="A99" i="2"/>
  <c r="G98" i="2"/>
  <c r="E98" i="2" s="1"/>
  <c r="F98" i="2"/>
  <c r="D98" i="2"/>
  <c r="C98" i="2"/>
  <c r="B98" i="2"/>
  <c r="A98" i="2"/>
  <c r="G97" i="2"/>
  <c r="E97" i="2" s="1"/>
  <c r="F97" i="2"/>
  <c r="D97" i="2"/>
  <c r="C97" i="2"/>
  <c r="B97" i="2"/>
  <c r="A97" i="2"/>
  <c r="G96" i="2"/>
  <c r="F96" i="2"/>
  <c r="E96" i="2"/>
  <c r="D96" i="2"/>
  <c r="C96" i="2"/>
  <c r="B96" i="2"/>
  <c r="A96" i="2"/>
  <c r="G95" i="2"/>
  <c r="F95" i="2" s="1"/>
  <c r="E95" i="2"/>
  <c r="D95" i="2"/>
  <c r="C95" i="2"/>
  <c r="B95" i="2"/>
  <c r="A95" i="2"/>
  <c r="G94" i="2"/>
  <c r="F94" i="2" s="1"/>
  <c r="D94" i="2"/>
  <c r="C94" i="2"/>
  <c r="B94" i="2"/>
  <c r="A94" i="2"/>
  <c r="G93" i="2"/>
  <c r="M87" i="3" s="1"/>
  <c r="F87" i="3" s="1"/>
  <c r="F93" i="2"/>
  <c r="D93" i="2"/>
  <c r="D87" i="3" s="1"/>
  <c r="C93" i="2"/>
  <c r="B93" i="2"/>
  <c r="A93" i="2"/>
  <c r="A87" i="3" s="1"/>
  <c r="G92" i="2"/>
  <c r="M86" i="3" s="1"/>
  <c r="F86" i="3" s="1"/>
  <c r="F92" i="2"/>
  <c r="E92" i="2"/>
  <c r="D92" i="2"/>
  <c r="D86" i="3" s="1"/>
  <c r="C92" i="2"/>
  <c r="B92" i="2"/>
  <c r="A92" i="2"/>
  <c r="A86" i="3" s="1"/>
  <c r="G91" i="2"/>
  <c r="E91" i="2"/>
  <c r="D91" i="2"/>
  <c r="C91" i="2"/>
  <c r="B91" i="2"/>
  <c r="A91" i="2"/>
  <c r="A85" i="3" s="1"/>
  <c r="G90" i="2"/>
  <c r="D90" i="2"/>
  <c r="C90" i="2"/>
  <c r="B90" i="2"/>
  <c r="A90" i="2"/>
  <c r="A84" i="3" s="1"/>
  <c r="G89" i="2"/>
  <c r="F89" i="2" s="1"/>
  <c r="D89" i="2"/>
  <c r="C89" i="2"/>
  <c r="B89" i="2"/>
  <c r="A89" i="2"/>
  <c r="A83" i="3" s="1"/>
  <c r="G88" i="2"/>
  <c r="M82" i="3" s="1"/>
  <c r="F82" i="3" s="1"/>
  <c r="F88" i="2"/>
  <c r="E88" i="2"/>
  <c r="D88" i="2"/>
  <c r="C88" i="2"/>
  <c r="B88" i="2"/>
  <c r="A88" i="2"/>
  <c r="A82" i="3" s="1"/>
  <c r="G87" i="2"/>
  <c r="M81" i="3" s="1"/>
  <c r="F81" i="3" s="1"/>
  <c r="F87" i="2"/>
  <c r="E87" i="2"/>
  <c r="D87" i="2"/>
  <c r="C87" i="2"/>
  <c r="B87" i="2"/>
  <c r="A87" i="2"/>
  <c r="A81" i="3" s="1"/>
  <c r="G86" i="2"/>
  <c r="F86" i="2"/>
  <c r="D86" i="2"/>
  <c r="C86" i="2"/>
  <c r="B86" i="2"/>
  <c r="A86" i="2"/>
  <c r="A80" i="3" s="1"/>
  <c r="G85" i="2"/>
  <c r="F85" i="2" s="1"/>
  <c r="D85" i="2"/>
  <c r="D79" i="3" s="1"/>
  <c r="C85" i="2"/>
  <c r="B85" i="2"/>
  <c r="A85" i="2"/>
  <c r="A79" i="3" s="1"/>
  <c r="G84" i="2"/>
  <c r="F84" i="2" s="1"/>
  <c r="D84" i="2"/>
  <c r="D78" i="3" s="1"/>
  <c r="C84" i="2"/>
  <c r="B84" i="2"/>
  <c r="A84" i="2"/>
  <c r="A78" i="3" s="1"/>
  <c r="G83" i="2"/>
  <c r="M77" i="3" s="1"/>
  <c r="F77" i="3" s="1"/>
  <c r="E83" i="2"/>
  <c r="D83" i="2"/>
  <c r="C83" i="2"/>
  <c r="B83" i="2"/>
  <c r="A83" i="2"/>
  <c r="A77" i="3" s="1"/>
  <c r="G82" i="2"/>
  <c r="E82" i="2" s="1"/>
  <c r="D82" i="2"/>
  <c r="C82" i="2"/>
  <c r="B82" i="2"/>
  <c r="A82" i="2"/>
  <c r="A76" i="3" s="1"/>
  <c r="G81" i="2"/>
  <c r="M75" i="3" s="1"/>
  <c r="F75" i="3" s="1"/>
  <c r="D81" i="2"/>
  <c r="D75" i="3" s="1"/>
  <c r="C81" i="2"/>
  <c r="B81" i="2"/>
  <c r="A81" i="2"/>
  <c r="A75" i="3" s="1"/>
  <c r="G80" i="2"/>
  <c r="M74" i="3" s="1"/>
  <c r="F74" i="3" s="1"/>
  <c r="F80" i="2"/>
  <c r="E80" i="2"/>
  <c r="D80" i="2"/>
  <c r="D74" i="3" s="1"/>
  <c r="C80" i="2"/>
  <c r="B80" i="2"/>
  <c r="A80" i="2"/>
  <c r="A74" i="3" s="1"/>
  <c r="G79" i="2"/>
  <c r="E79" i="2" s="1"/>
  <c r="D79" i="2"/>
  <c r="C79" i="2"/>
  <c r="B79" i="2"/>
  <c r="A79" i="2"/>
  <c r="A73" i="3" s="1"/>
  <c r="G78" i="2"/>
  <c r="D78" i="2"/>
  <c r="C78" i="2"/>
  <c r="B78" i="2"/>
  <c r="A78" i="2"/>
  <c r="A72" i="3" s="1"/>
  <c r="G77" i="2"/>
  <c r="F77" i="2"/>
  <c r="D77" i="2"/>
  <c r="C77" i="2"/>
  <c r="B77" i="2"/>
  <c r="A77" i="2"/>
  <c r="A71" i="3" s="1"/>
  <c r="G76" i="2"/>
  <c r="M70" i="3" s="1"/>
  <c r="F70" i="3" s="1"/>
  <c r="F76" i="2"/>
  <c r="E76" i="2"/>
  <c r="D76" i="2"/>
  <c r="C76" i="2"/>
  <c r="B76" i="2"/>
  <c r="A76" i="2"/>
  <c r="A70" i="3" s="1"/>
  <c r="G75" i="2"/>
  <c r="F75" i="2" s="1"/>
  <c r="D75" i="2"/>
  <c r="C75" i="2"/>
  <c r="B75" i="2"/>
  <c r="A75" i="2"/>
  <c r="A69" i="3" s="1"/>
  <c r="G74" i="2"/>
  <c r="F74" i="2" s="1"/>
  <c r="D74" i="2"/>
  <c r="C74" i="2"/>
  <c r="B74" i="2"/>
  <c r="A74" i="2"/>
  <c r="A68" i="3" s="1"/>
  <c r="G73" i="2"/>
  <c r="F73" i="2"/>
  <c r="D73" i="2"/>
  <c r="D67" i="3" s="1"/>
  <c r="C73" i="2"/>
  <c r="B73" i="2"/>
  <c r="A73" i="2"/>
  <c r="A67" i="3" s="1"/>
  <c r="G72" i="2"/>
  <c r="M66" i="3" s="1"/>
  <c r="F66" i="3" s="1"/>
  <c r="F72" i="2"/>
  <c r="E72" i="2"/>
  <c r="D72" i="2"/>
  <c r="D66" i="3" s="1"/>
  <c r="C72" i="2"/>
  <c r="B72" i="2"/>
  <c r="A72" i="2"/>
  <c r="A66" i="3" s="1"/>
  <c r="G71" i="2"/>
  <c r="M65" i="3" s="1"/>
  <c r="F65" i="3" s="1"/>
  <c r="E71" i="2"/>
  <c r="D71" i="2"/>
  <c r="C71" i="2"/>
  <c r="B71" i="2"/>
  <c r="A71" i="2"/>
  <c r="A65" i="3" s="1"/>
  <c r="G70" i="2"/>
  <c r="E70" i="2"/>
  <c r="D70" i="2"/>
  <c r="C70" i="2"/>
  <c r="B70" i="2"/>
  <c r="A70" i="2"/>
  <c r="A64" i="3" s="1"/>
  <c r="G69" i="2"/>
  <c r="M63" i="3" s="1"/>
  <c r="F63" i="3" s="1"/>
  <c r="F69" i="2"/>
  <c r="E69" i="2"/>
  <c r="D69" i="2"/>
  <c r="D63" i="3" s="1"/>
  <c r="C69" i="2"/>
  <c r="B69" i="2"/>
  <c r="A69" i="2"/>
  <c r="A63" i="3" s="1"/>
  <c r="G68" i="2"/>
  <c r="M62" i="3" s="1"/>
  <c r="F62" i="3" s="1"/>
  <c r="D68" i="2"/>
  <c r="D62" i="3" s="1"/>
  <c r="C68" i="2"/>
  <c r="B68" i="2"/>
  <c r="A68" i="2"/>
  <c r="A62" i="3" s="1"/>
  <c r="G67" i="2"/>
  <c r="E67" i="2" s="1"/>
  <c r="D67" i="2"/>
  <c r="C67" i="2"/>
  <c r="B67" i="2"/>
  <c r="A67" i="2"/>
  <c r="A61" i="3" s="1"/>
  <c r="G66" i="2"/>
  <c r="D66" i="2"/>
  <c r="C66" i="2"/>
  <c r="B66" i="2"/>
  <c r="A66" i="2"/>
  <c r="A60" i="3" s="1"/>
  <c r="G65" i="2"/>
  <c r="F65" i="2" s="1"/>
  <c r="D65" i="2"/>
  <c r="C65" i="2"/>
  <c r="B65" i="2"/>
  <c r="A65" i="2"/>
  <c r="A59" i="3" s="1"/>
  <c r="G64" i="2"/>
  <c r="M58" i="3" s="1"/>
  <c r="F58" i="3" s="1"/>
  <c r="F64" i="2"/>
  <c r="E64" i="2"/>
  <c r="D64" i="2"/>
  <c r="C64" i="2"/>
  <c r="B64" i="2"/>
  <c r="A64" i="2"/>
  <c r="A58" i="3" s="1"/>
  <c r="G63" i="2"/>
  <c r="M57" i="3" s="1"/>
  <c r="F57" i="3" s="1"/>
  <c r="F63" i="2"/>
  <c r="E63" i="2"/>
  <c r="D63" i="2"/>
  <c r="C63" i="2"/>
  <c r="B63" i="2"/>
  <c r="A63" i="2"/>
  <c r="A57" i="3" s="1"/>
  <c r="G62" i="2"/>
  <c r="F62" i="2"/>
  <c r="D62" i="2"/>
  <c r="C62" i="2"/>
  <c r="B62" i="2"/>
  <c r="A62" i="2"/>
  <c r="A56" i="3" s="1"/>
  <c r="G61" i="2"/>
  <c r="F61" i="2"/>
  <c r="D61" i="2"/>
  <c r="D55" i="3" s="1"/>
  <c r="C61" i="2"/>
  <c r="B61" i="2"/>
  <c r="A61" i="2"/>
  <c r="A55" i="3" s="1"/>
  <c r="G60" i="2"/>
  <c r="M54" i="3" s="1"/>
  <c r="F54" i="3" s="1"/>
  <c r="F60" i="2"/>
  <c r="E60" i="2"/>
  <c r="D60" i="2"/>
  <c r="D54" i="3" s="1"/>
  <c r="C60" i="2"/>
  <c r="B60" i="2"/>
  <c r="A60" i="2"/>
  <c r="A54" i="3" s="1"/>
  <c r="G59" i="2"/>
  <c r="M53" i="3" s="1"/>
  <c r="F53" i="3" s="1"/>
  <c r="E59" i="2"/>
  <c r="D59" i="2"/>
  <c r="C59" i="2"/>
  <c r="B59" i="2"/>
  <c r="A59" i="2"/>
  <c r="A53" i="3" s="1"/>
  <c r="G58" i="2"/>
  <c r="E58" i="2" s="1"/>
  <c r="D58" i="2"/>
  <c r="C58" i="2"/>
  <c r="B58" i="2"/>
  <c r="A58" i="2"/>
  <c r="A52" i="3" s="1"/>
  <c r="G57" i="2"/>
  <c r="M51" i="3" s="1"/>
  <c r="F51" i="3" s="1"/>
  <c r="F57" i="2"/>
  <c r="E57" i="2"/>
  <c r="D57" i="2"/>
  <c r="D51" i="3" s="1"/>
  <c r="C57" i="2"/>
  <c r="B57" i="2"/>
  <c r="A57" i="2"/>
  <c r="A51" i="3" s="1"/>
  <c r="G56" i="2"/>
  <c r="M50" i="3" s="1"/>
  <c r="F50" i="3" s="1"/>
  <c r="F56" i="2"/>
  <c r="E56" i="2"/>
  <c r="D56" i="2"/>
  <c r="D50" i="3" s="1"/>
  <c r="C56" i="2"/>
  <c r="B56" i="2"/>
  <c r="A56" i="2"/>
  <c r="A50" i="3" s="1"/>
  <c r="G55" i="2"/>
  <c r="E55" i="2"/>
  <c r="D55" i="2"/>
  <c r="C55" i="2"/>
  <c r="B55" i="2"/>
  <c r="A55" i="2"/>
  <c r="A49" i="3" s="1"/>
  <c r="G54" i="2"/>
  <c r="D54" i="2"/>
  <c r="C54" i="2"/>
  <c r="B54" i="2"/>
  <c r="A54" i="2"/>
  <c r="A48" i="3" s="1"/>
  <c r="G53" i="2"/>
  <c r="D53" i="2"/>
  <c r="C53" i="2"/>
  <c r="B53" i="2"/>
  <c r="A53" i="2"/>
  <c r="A47" i="3" s="1"/>
  <c r="G52" i="2"/>
  <c r="D52" i="2"/>
  <c r="C52" i="2"/>
  <c r="B52" i="2"/>
  <c r="A52" i="2"/>
  <c r="A46" i="3" s="1"/>
  <c r="G51" i="2"/>
  <c r="M45" i="3" s="1"/>
  <c r="F45" i="3" s="1"/>
  <c r="F51" i="2"/>
  <c r="E51" i="2"/>
  <c r="D51" i="2"/>
  <c r="C51" i="2"/>
  <c r="B51" i="2"/>
  <c r="A51" i="2"/>
  <c r="A45" i="3" s="1"/>
  <c r="G50" i="2"/>
  <c r="F50" i="2"/>
  <c r="D50" i="2"/>
  <c r="C50" i="2"/>
  <c r="B50" i="2"/>
  <c r="A50" i="2"/>
  <c r="A44" i="3" s="1"/>
  <c r="G49" i="2"/>
  <c r="F49" i="2" s="1"/>
  <c r="D49" i="2"/>
  <c r="D43" i="3" s="1"/>
  <c r="C49" i="2"/>
  <c r="B49" i="2"/>
  <c r="A49" i="2"/>
  <c r="A43" i="3" s="1"/>
  <c r="G48" i="2"/>
  <c r="M42" i="3" s="1"/>
  <c r="F42" i="3" s="1"/>
  <c r="F48" i="2"/>
  <c r="E48" i="2"/>
  <c r="D48" i="2"/>
  <c r="D42" i="3" s="1"/>
  <c r="C48" i="2"/>
  <c r="B48" i="2"/>
  <c r="A48" i="2"/>
  <c r="A42" i="3" s="1"/>
  <c r="G47" i="2"/>
  <c r="D47" i="2"/>
  <c r="C47" i="2"/>
  <c r="B47" i="2"/>
  <c r="A47" i="2"/>
  <c r="A41" i="3" s="1"/>
  <c r="G46" i="2"/>
  <c r="E46" i="2" s="1"/>
  <c r="D46" i="2"/>
  <c r="C46" i="2"/>
  <c r="B46" i="2"/>
  <c r="A46" i="2"/>
  <c r="A40" i="3" s="1"/>
  <c r="G45" i="2"/>
  <c r="D45" i="2"/>
  <c r="D39" i="3" s="1"/>
  <c r="C45" i="2"/>
  <c r="B45" i="2"/>
  <c r="A45" i="2"/>
  <c r="A39" i="3" s="1"/>
  <c r="G44" i="2"/>
  <c r="D44" i="2"/>
  <c r="D38" i="3" s="1"/>
  <c r="C44" i="2"/>
  <c r="B44" i="2"/>
  <c r="A44" i="2"/>
  <c r="A38" i="3" s="1"/>
  <c r="G43" i="2"/>
  <c r="E43" i="2" s="1"/>
  <c r="D43" i="2"/>
  <c r="C43" i="2"/>
  <c r="B43" i="2"/>
  <c r="A43" i="2"/>
  <c r="A37" i="3" s="1"/>
  <c r="G42" i="2"/>
  <c r="D42" i="2"/>
  <c r="C42" i="2"/>
  <c r="B42" i="2"/>
  <c r="A42" i="2"/>
  <c r="A36" i="3" s="1"/>
  <c r="G41" i="2"/>
  <c r="A41" i="2"/>
  <c r="D19" i="3"/>
  <c r="C19" i="3"/>
  <c r="A19" i="3"/>
  <c r="M41" i="3" l="1"/>
  <c r="F41" i="3" s="1"/>
  <c r="E47" i="2"/>
  <c r="M38" i="3"/>
  <c r="F38" i="3" s="1"/>
  <c r="F44" i="2"/>
  <c r="E44" i="2"/>
  <c r="M78" i="3"/>
  <c r="F78" i="3" s="1"/>
  <c r="E84" i="2"/>
  <c r="M69" i="3"/>
  <c r="F69" i="3" s="1"/>
  <c r="E75" i="2"/>
  <c r="M39" i="3"/>
  <c r="F39" i="3" s="1"/>
  <c r="F45" i="2"/>
  <c r="F105" i="2"/>
  <c r="E105" i="2"/>
  <c r="M46" i="3"/>
  <c r="F46" i="3" s="1"/>
  <c r="F52" i="2"/>
  <c r="E52" i="2"/>
  <c r="M19" i="3"/>
  <c r="F19" i="3" s="1"/>
  <c r="K86" i="3"/>
  <c r="I86" i="3"/>
  <c r="H86" i="3"/>
  <c r="G86" i="3"/>
  <c r="E86" i="3"/>
  <c r="J86" i="3"/>
  <c r="K74" i="3"/>
  <c r="H74" i="3"/>
  <c r="G74" i="3"/>
  <c r="E74" i="3"/>
  <c r="J74" i="3"/>
  <c r="I74" i="3"/>
  <c r="K82" i="3"/>
  <c r="H82" i="3"/>
  <c r="G82" i="3"/>
  <c r="E82" i="3"/>
  <c r="J82" i="3"/>
  <c r="I82" i="3"/>
  <c r="K70" i="3"/>
  <c r="H70" i="3"/>
  <c r="G70" i="3"/>
  <c r="E70" i="3"/>
  <c r="J70" i="3"/>
  <c r="I70" i="3"/>
  <c r="K58" i="3"/>
  <c r="H58" i="3"/>
  <c r="G58" i="3"/>
  <c r="E58" i="3"/>
  <c r="J58" i="3"/>
  <c r="I58" i="3"/>
  <c r="K62" i="3"/>
  <c r="H62" i="3"/>
  <c r="G62" i="3"/>
  <c r="E62" i="3"/>
  <c r="J62" i="3"/>
  <c r="I62" i="3"/>
  <c r="K66" i="3"/>
  <c r="H66" i="3"/>
  <c r="G66" i="3"/>
  <c r="E66" i="3"/>
  <c r="J66" i="3"/>
  <c r="I66" i="3"/>
  <c r="K53" i="3"/>
  <c r="H53" i="3"/>
  <c r="G53" i="3"/>
  <c r="E53" i="3"/>
  <c r="J53" i="3"/>
  <c r="I53" i="3"/>
  <c r="K77" i="3"/>
  <c r="H77" i="3"/>
  <c r="G77" i="3"/>
  <c r="E77" i="3"/>
  <c r="J77" i="3"/>
  <c r="I77" i="3"/>
  <c r="K50" i="3"/>
  <c r="H50" i="3"/>
  <c r="G50" i="3"/>
  <c r="E50" i="3"/>
  <c r="J50" i="3"/>
  <c r="I50" i="3"/>
  <c r="K65" i="3"/>
  <c r="H65" i="3"/>
  <c r="G65" i="3"/>
  <c r="E65" i="3"/>
  <c r="J65" i="3"/>
  <c r="I65" i="3"/>
  <c r="M47" i="3"/>
  <c r="F47" i="3" s="1"/>
  <c r="E53" i="2"/>
  <c r="M35" i="3"/>
  <c r="F35" i="3" s="1"/>
  <c r="E41" i="2"/>
  <c r="D45" i="3"/>
  <c r="C45" i="3"/>
  <c r="D49" i="3"/>
  <c r="C49" i="3"/>
  <c r="F66" i="2"/>
  <c r="M60" i="3"/>
  <c r="F60" i="3" s="1"/>
  <c r="E66" i="2"/>
  <c r="F68" i="2"/>
  <c r="D64" i="3"/>
  <c r="C64" i="3"/>
  <c r="D85" i="3"/>
  <c r="C85" i="3"/>
  <c r="F102" i="2"/>
  <c r="E102" i="2"/>
  <c r="E49" i="2"/>
  <c r="M43" i="3"/>
  <c r="F43" i="3" s="1"/>
  <c r="D47" i="3"/>
  <c r="C47" i="3"/>
  <c r="D68" i="3"/>
  <c r="C68" i="3"/>
  <c r="E85" i="2"/>
  <c r="M79" i="3"/>
  <c r="F79" i="3" s="1"/>
  <c r="D83" i="3"/>
  <c r="C83" i="3"/>
  <c r="F53" i="2"/>
  <c r="M49" i="3"/>
  <c r="F49" i="3" s="1"/>
  <c r="F55" i="2"/>
  <c r="D53" i="3"/>
  <c r="C53" i="3"/>
  <c r="M64" i="3"/>
  <c r="F64" i="3" s="1"/>
  <c r="F70" i="2"/>
  <c r="D70" i="3"/>
  <c r="C70" i="3"/>
  <c r="M85" i="3"/>
  <c r="F85" i="3" s="1"/>
  <c r="F91" i="2"/>
  <c r="E93" i="2"/>
  <c r="D57" i="3"/>
  <c r="C57" i="3"/>
  <c r="M68" i="3"/>
  <c r="F68" i="3" s="1"/>
  <c r="E74" i="2"/>
  <c r="D72" i="3"/>
  <c r="C72" i="3"/>
  <c r="M83" i="3"/>
  <c r="F83" i="3" s="1"/>
  <c r="E89" i="2"/>
  <c r="K42" i="3"/>
  <c r="H42" i="3"/>
  <c r="G42" i="3"/>
  <c r="E42" i="3"/>
  <c r="K45" i="3"/>
  <c r="H45" i="3"/>
  <c r="G45" i="3"/>
  <c r="E45" i="3"/>
  <c r="K51" i="3"/>
  <c r="H51" i="3"/>
  <c r="G51" i="3"/>
  <c r="E51" i="3"/>
  <c r="K54" i="3"/>
  <c r="H54" i="3"/>
  <c r="G54" i="3"/>
  <c r="E54" i="3"/>
  <c r="K57" i="3"/>
  <c r="H57" i="3"/>
  <c r="G57" i="3"/>
  <c r="E57" i="3"/>
  <c r="K63" i="3"/>
  <c r="H63" i="3"/>
  <c r="G63" i="3"/>
  <c r="E63" i="3"/>
  <c r="K75" i="3"/>
  <c r="H75" i="3"/>
  <c r="G75" i="3"/>
  <c r="E75" i="3"/>
  <c r="K81" i="3"/>
  <c r="H81" i="3"/>
  <c r="G81" i="3"/>
  <c r="E81" i="3"/>
  <c r="D40" i="3"/>
  <c r="C40" i="3"/>
  <c r="D61" i="3"/>
  <c r="C61" i="3"/>
  <c r="F78" i="2"/>
  <c r="M72" i="3"/>
  <c r="F72" i="3" s="1"/>
  <c r="E78" i="2"/>
  <c r="D76" i="3"/>
  <c r="C76" i="3"/>
  <c r="K87" i="3"/>
  <c r="J87" i="3"/>
  <c r="I87" i="3"/>
  <c r="H87" i="3"/>
  <c r="G87" i="3"/>
  <c r="E87" i="3"/>
  <c r="I42" i="3"/>
  <c r="I45" i="3"/>
  <c r="I51" i="3"/>
  <c r="I54" i="3"/>
  <c r="I57" i="3"/>
  <c r="I63" i="3"/>
  <c r="I75" i="3"/>
  <c r="I81" i="3"/>
  <c r="F42" i="2"/>
  <c r="M36" i="3"/>
  <c r="F36" i="3" s="1"/>
  <c r="E42" i="2"/>
  <c r="D44" i="3"/>
  <c r="C44" i="3"/>
  <c r="E61" i="2"/>
  <c r="M55" i="3"/>
  <c r="F55" i="3" s="1"/>
  <c r="D59" i="3"/>
  <c r="C59" i="3"/>
  <c r="D80" i="3"/>
  <c r="C80" i="3"/>
  <c r="F103" i="2"/>
  <c r="E103" i="2"/>
  <c r="J42" i="3"/>
  <c r="J45" i="3"/>
  <c r="J51" i="3"/>
  <c r="J54" i="3"/>
  <c r="J57" i="3"/>
  <c r="J63" i="3"/>
  <c r="J75" i="3"/>
  <c r="J81" i="3"/>
  <c r="D36" i="3"/>
  <c r="C36" i="3"/>
  <c r="M40" i="3"/>
  <c r="F40" i="3" s="1"/>
  <c r="F46" i="2"/>
  <c r="D46" i="3"/>
  <c r="C46" i="3"/>
  <c r="M61" i="3"/>
  <c r="F61" i="3" s="1"/>
  <c r="F67" i="2"/>
  <c r="D65" i="3"/>
  <c r="C65" i="3"/>
  <c r="M76" i="3"/>
  <c r="F76" i="3" s="1"/>
  <c r="F82" i="2"/>
  <c r="D82" i="3"/>
  <c r="C82" i="3"/>
  <c r="M44" i="3"/>
  <c r="F44" i="3" s="1"/>
  <c r="E50" i="2"/>
  <c r="D48" i="3"/>
  <c r="C48" i="3"/>
  <c r="M59" i="3"/>
  <c r="F59" i="3" s="1"/>
  <c r="E65" i="2"/>
  <c r="D69" i="3"/>
  <c r="C69" i="3"/>
  <c r="M80" i="3"/>
  <c r="F80" i="3" s="1"/>
  <c r="E86" i="2"/>
  <c r="D84" i="3"/>
  <c r="C84" i="3"/>
  <c r="F54" i="2"/>
  <c r="M48" i="3"/>
  <c r="F48" i="3" s="1"/>
  <c r="E54" i="2"/>
  <c r="D52" i="3"/>
  <c r="C52" i="3"/>
  <c r="D73" i="3"/>
  <c r="C73" i="3"/>
  <c r="F90" i="2"/>
  <c r="M84" i="3"/>
  <c r="F84" i="3" s="1"/>
  <c r="E90" i="2"/>
  <c r="D37" i="3"/>
  <c r="C37" i="3"/>
  <c r="D56" i="3"/>
  <c r="C56" i="3"/>
  <c r="E73" i="2"/>
  <c r="M67" i="3"/>
  <c r="F67" i="3" s="1"/>
  <c r="D71" i="3"/>
  <c r="C71" i="3"/>
  <c r="E94" i="2"/>
  <c r="F41" i="2"/>
  <c r="M37" i="3"/>
  <c r="F37" i="3" s="1"/>
  <c r="F43" i="2"/>
  <c r="E45" i="2"/>
  <c r="D41" i="3"/>
  <c r="C41" i="3"/>
  <c r="M52" i="3"/>
  <c r="F52" i="3" s="1"/>
  <c r="F58" i="2"/>
  <c r="D58" i="3"/>
  <c r="C58" i="3"/>
  <c r="M73" i="3"/>
  <c r="F73" i="3" s="1"/>
  <c r="F79" i="2"/>
  <c r="E81" i="2"/>
  <c r="D77" i="3"/>
  <c r="C77" i="3"/>
  <c r="M56" i="3"/>
  <c r="F56" i="3" s="1"/>
  <c r="E62" i="2"/>
  <c r="D60" i="3"/>
  <c r="C60" i="3"/>
  <c r="E68" i="2"/>
  <c r="M71" i="3"/>
  <c r="F71" i="3" s="1"/>
  <c r="E77" i="2"/>
  <c r="F81" i="2"/>
  <c r="D81" i="3"/>
  <c r="C81" i="3"/>
  <c r="C38" i="3"/>
  <c r="C39" i="3"/>
  <c r="C42" i="3"/>
  <c r="C43" i="3"/>
  <c r="C50" i="3"/>
  <c r="C51" i="3"/>
  <c r="C54" i="3"/>
  <c r="C55" i="3"/>
  <c r="C62" i="3"/>
  <c r="C63" i="3"/>
  <c r="C66" i="3"/>
  <c r="C67" i="3"/>
  <c r="C74" i="3"/>
  <c r="C75" i="3"/>
  <c r="C78" i="3"/>
  <c r="C79" i="3"/>
  <c r="C86" i="3"/>
  <c r="C87" i="3"/>
  <c r="F47" i="2"/>
  <c r="F59" i="2"/>
  <c r="F71" i="2"/>
  <c r="F83" i="2"/>
  <c r="H41" i="3" l="1"/>
  <c r="J41" i="3"/>
  <c r="K41" i="3"/>
  <c r="G41" i="3"/>
  <c r="E41" i="3"/>
  <c r="I41" i="3"/>
  <c r="K38" i="3"/>
  <c r="H38" i="3"/>
  <c r="G38" i="3"/>
  <c r="E38" i="3"/>
  <c r="J38" i="3"/>
  <c r="I38" i="3"/>
  <c r="K78" i="3"/>
  <c r="G78" i="3"/>
  <c r="E78" i="3"/>
  <c r="H78" i="3"/>
  <c r="I78" i="3"/>
  <c r="J78" i="3"/>
  <c r="E69" i="3"/>
  <c r="G69" i="3"/>
  <c r="H69" i="3"/>
  <c r="K69" i="3"/>
  <c r="I69" i="3"/>
  <c r="J69" i="3"/>
  <c r="J39" i="3"/>
  <c r="K39" i="3"/>
  <c r="H39" i="3"/>
  <c r="G39" i="3"/>
  <c r="E39" i="3"/>
  <c r="I39" i="3"/>
  <c r="J19" i="3"/>
  <c r="E19" i="3"/>
  <c r="K19" i="3"/>
  <c r="I19" i="3"/>
  <c r="H19" i="3"/>
  <c r="G19" i="3"/>
  <c r="K46" i="3"/>
  <c r="H46" i="3"/>
  <c r="G46" i="3"/>
  <c r="E46" i="3"/>
  <c r="J46" i="3"/>
  <c r="I46" i="3"/>
  <c r="K71" i="3"/>
  <c r="H71" i="3"/>
  <c r="G71" i="3"/>
  <c r="E71" i="3"/>
  <c r="J71" i="3"/>
  <c r="I71" i="3"/>
  <c r="K55" i="3"/>
  <c r="H55" i="3"/>
  <c r="G55" i="3"/>
  <c r="E55" i="3"/>
  <c r="J55" i="3"/>
  <c r="I55" i="3"/>
  <c r="K67" i="3"/>
  <c r="H67" i="3"/>
  <c r="G67" i="3"/>
  <c r="E67" i="3"/>
  <c r="J67" i="3"/>
  <c r="I67" i="3"/>
  <c r="K60" i="3"/>
  <c r="H60" i="3"/>
  <c r="G60" i="3"/>
  <c r="E60" i="3"/>
  <c r="J60" i="3"/>
  <c r="I60" i="3"/>
  <c r="K64" i="3"/>
  <c r="H64" i="3"/>
  <c r="G64" i="3"/>
  <c r="E64" i="3"/>
  <c r="J64" i="3"/>
  <c r="I64" i="3"/>
  <c r="K35" i="3"/>
  <c r="H35" i="3"/>
  <c r="G35" i="3"/>
  <c r="E35" i="3"/>
  <c r="J35" i="3"/>
  <c r="I35" i="3"/>
  <c r="K68" i="3"/>
  <c r="H68" i="3"/>
  <c r="G68" i="3"/>
  <c r="E68" i="3"/>
  <c r="J68" i="3"/>
  <c r="I68" i="3"/>
  <c r="K52" i="3"/>
  <c r="H52" i="3"/>
  <c r="G52" i="3"/>
  <c r="E52" i="3"/>
  <c r="J52" i="3"/>
  <c r="I52" i="3"/>
  <c r="K80" i="3"/>
  <c r="H80" i="3"/>
  <c r="G80" i="3"/>
  <c r="E80" i="3"/>
  <c r="J80" i="3"/>
  <c r="I80" i="3"/>
  <c r="K47" i="3"/>
  <c r="H47" i="3"/>
  <c r="G47" i="3"/>
  <c r="E47" i="3"/>
  <c r="J47" i="3"/>
  <c r="I47" i="3"/>
  <c r="K83" i="3"/>
  <c r="H83" i="3"/>
  <c r="G83" i="3"/>
  <c r="E83" i="3"/>
  <c r="J83" i="3"/>
  <c r="I83" i="3"/>
  <c r="K43" i="3"/>
  <c r="H43" i="3"/>
  <c r="G43" i="3"/>
  <c r="E43" i="3"/>
  <c r="J43" i="3"/>
  <c r="I43" i="3"/>
  <c r="K48" i="3"/>
  <c r="H48" i="3"/>
  <c r="G48" i="3"/>
  <c r="E48" i="3"/>
  <c r="J48" i="3"/>
  <c r="I48" i="3"/>
  <c r="K49" i="3"/>
  <c r="H49" i="3"/>
  <c r="G49" i="3"/>
  <c r="E49" i="3"/>
  <c r="J49" i="3"/>
  <c r="I49" i="3"/>
  <c r="K84" i="3"/>
  <c r="I84" i="3"/>
  <c r="H84" i="3"/>
  <c r="G84" i="3"/>
  <c r="E84" i="3"/>
  <c r="J84" i="3"/>
  <c r="K40" i="3"/>
  <c r="H40" i="3"/>
  <c r="G40" i="3"/>
  <c r="E40" i="3"/>
  <c r="J40" i="3"/>
  <c r="I40" i="3"/>
  <c r="K76" i="3"/>
  <c r="H76" i="3"/>
  <c r="G76" i="3"/>
  <c r="E76" i="3"/>
  <c r="J76" i="3"/>
  <c r="I76" i="3"/>
  <c r="K37" i="3"/>
  <c r="H37" i="3"/>
  <c r="G37" i="3"/>
  <c r="E37" i="3"/>
  <c r="J37" i="3"/>
  <c r="I37" i="3"/>
  <c r="K59" i="3"/>
  <c r="H59" i="3"/>
  <c r="G59" i="3"/>
  <c r="E59" i="3"/>
  <c r="J59" i="3"/>
  <c r="I59" i="3"/>
  <c r="K72" i="3"/>
  <c r="H72" i="3"/>
  <c r="G72" i="3"/>
  <c r="E72" i="3"/>
  <c r="J72" i="3"/>
  <c r="I72" i="3"/>
  <c r="K79" i="3"/>
  <c r="H79" i="3"/>
  <c r="G79" i="3"/>
  <c r="E79" i="3"/>
  <c r="J79" i="3"/>
  <c r="I79" i="3"/>
  <c r="K73" i="3"/>
  <c r="H73" i="3"/>
  <c r="G73" i="3"/>
  <c r="E73" i="3"/>
  <c r="J73" i="3"/>
  <c r="I73" i="3"/>
  <c r="K44" i="3"/>
  <c r="H44" i="3"/>
  <c r="G44" i="3"/>
  <c r="E44" i="3"/>
  <c r="J44" i="3"/>
  <c r="I44" i="3"/>
  <c r="K61" i="3"/>
  <c r="H61" i="3"/>
  <c r="G61" i="3"/>
  <c r="E61" i="3"/>
  <c r="J61" i="3"/>
  <c r="I61" i="3"/>
  <c r="K56" i="3"/>
  <c r="H56" i="3"/>
  <c r="G56" i="3"/>
  <c r="E56" i="3"/>
  <c r="J56" i="3"/>
  <c r="I56" i="3"/>
  <c r="K36" i="3"/>
  <c r="H36" i="3"/>
  <c r="G36" i="3"/>
  <c r="E36" i="3"/>
  <c r="J36" i="3"/>
  <c r="I36" i="3"/>
  <c r="K85" i="3"/>
  <c r="I85" i="3"/>
  <c r="H85" i="3"/>
  <c r="G85" i="3"/>
  <c r="E85" i="3"/>
  <c r="J85" i="3"/>
</calcChain>
</file>

<file path=xl/sharedStrings.xml><?xml version="1.0" encoding="utf-8"?>
<sst xmlns="http://schemas.openxmlformats.org/spreadsheetml/2006/main" count="87" uniqueCount="72">
  <si>
    <t>NAMA AUDITI (PROGRAM STUDI / UNIT):</t>
  </si>
  <si>
    <t>JURUSAN / PSDKU / UNIT:</t>
  </si>
  <si>
    <t>Periode Audit:</t>
  </si>
  <si>
    <t>AUDITOR 1:</t>
  </si>
  <si>
    <t>AUDITOR 2:</t>
  </si>
  <si>
    <t>KODE STANDAR</t>
  </si>
  <si>
    <t>TEMUAN</t>
  </si>
  <si>
    <t>HASIL AMI</t>
  </si>
  <si>
    <r>
      <rPr>
        <b/>
        <sz val="12"/>
        <color theme="1"/>
        <rFont val="Times New Roman"/>
      </rPr>
      <t xml:space="preserve">TINDAKAN PERBAIKAN
</t>
    </r>
    <r>
      <rPr>
        <sz val="12"/>
        <color theme="1"/>
        <rFont val="Times New Roman"/>
      </rPr>
      <t>(berikan tanggapan / penjelasan terkait perbaikan yang telah dilakukan)</t>
    </r>
  </si>
  <si>
    <r>
      <rPr>
        <b/>
        <sz val="12"/>
        <color theme="1"/>
        <rFont val="Times New Roman"/>
      </rPr>
      <t xml:space="preserve">REFERENSI / BUKTI
</t>
    </r>
    <r>
      <rPr>
        <sz val="12"/>
        <color theme="1"/>
        <rFont val="Times New Roman"/>
      </rPr>
      <t>(Berupa link)</t>
    </r>
  </si>
  <si>
    <t>TANGGAPAN AUDITOR TERHADAP TINDAKAN PERBAIKAN</t>
  </si>
  <si>
    <t>VALIDASI</t>
  </si>
  <si>
    <t xml:space="preserve">KEMENTERIAN PENDIDIKAN TINGGI, SAINS, </t>
  </si>
  <si>
    <t>DAN TEKNOLOGI</t>
  </si>
  <si>
    <t>POLITEKNIK NEGERI MALANG</t>
  </si>
  <si>
    <t>PENJAMINAN MUTU DAN PENGEMBANGAN PEMBELAJARAN</t>
  </si>
  <si>
    <t>Jalan Soekarno Hatta Nomor 9 Jatimulyo, Lowokwaru, Malang 65141</t>
  </si>
  <si>
    <t>Telepon (0341) 404424, 404425, Faksimile (0341) 404420</t>
  </si>
  <si>
    <r>
      <rPr>
        <sz val="11"/>
        <rFont val="Times New Roman"/>
      </rPr>
      <t xml:space="preserve">Laman </t>
    </r>
    <r>
      <rPr>
        <u/>
        <sz val="11"/>
        <color rgb="FF1155CC"/>
        <rFont val="Times New Roman"/>
      </rPr>
      <t>www.polinema.ac.id</t>
    </r>
    <r>
      <rPr>
        <sz val="11"/>
        <rFont val="Times New Roman"/>
      </rPr>
      <t xml:space="preserve"> </t>
    </r>
  </si>
  <si>
    <t>FORM HASIL PERMINTAAN TINDAKAN  PERBAIKAN &amp; PENCEGAHAN (PTPP)</t>
  </si>
  <si>
    <t>[  V  ] Internal Audit</t>
  </si>
  <si>
    <t>[  ] Eksternal Audit</t>
  </si>
  <si>
    <t>[  ] Tinjauan Manajemen</t>
  </si>
  <si>
    <t>[  ] Keluhan Pelanggan</t>
  </si>
  <si>
    <t>Lokasi:</t>
  </si>
  <si>
    <t>Tanggal:</t>
  </si>
  <si>
    <t>NO.</t>
  </si>
  <si>
    <t>PENYEBAB KETIDAK SESUAIAN</t>
  </si>
  <si>
    <t>TINDAKAN PERBAIKAN</t>
  </si>
  <si>
    <t>TINDAKAN PENCEGAHAN</t>
  </si>
  <si>
    <t>PEMERIKSAAN</t>
  </si>
  <si>
    <t>DUE DATE</t>
  </si>
  <si>
    <t>STATUS</t>
  </si>
  <si>
    <t>-</t>
  </si>
  <si>
    <t>Penanggungjawab/ Pelaksana/Auditee</t>
  </si>
  <si>
    <t>Pengawas / Auditor</t>
  </si>
  <si>
    <r>
      <rPr>
        <sz val="11"/>
        <rFont val="Times New Roman"/>
      </rPr>
      <t xml:space="preserve">Laman </t>
    </r>
    <r>
      <rPr>
        <u/>
        <sz val="11"/>
        <color rgb="FF1155CC"/>
        <rFont val="Times New Roman"/>
      </rPr>
      <t>www.polinema.ac.id</t>
    </r>
    <r>
      <rPr>
        <sz val="11"/>
        <rFont val="Times New Roman"/>
      </rPr>
      <t xml:space="preserve"> </t>
    </r>
  </si>
  <si>
    <t>FORM PERMINTAAN TINDAKAN PERBAIKAN DAN PENCEGAHAN (PTPP)</t>
  </si>
  <si>
    <t>AUDITI:</t>
  </si>
  <si>
    <t>PELAKSANAAN AUDIT:</t>
  </si>
  <si>
    <t>RUANG LINGKUP:</t>
  </si>
  <si>
    <t>TANGGAL AUDIT:</t>
  </si>
  <si>
    <t>WAKIL AUDITI:</t>
  </si>
  <si>
    <t>Auditor 1:</t>
  </si>
  <si>
    <t>Auditor 2:</t>
  </si>
  <si>
    <t>DISTRIBUSI:</t>
  </si>
  <si>
    <t>AUDITI</t>
  </si>
  <si>
    <t>V</t>
  </si>
  <si>
    <t>AUDITOR</t>
  </si>
  <si>
    <t>P2MPP</t>
  </si>
  <si>
    <t>ARSIP</t>
  </si>
  <si>
    <t>STANDAR</t>
  </si>
  <si>
    <t>INDIKATOR</t>
  </si>
  <si>
    <t>HASIL AUDIT</t>
  </si>
  <si>
    <t>AKAR MASALAH</t>
  </si>
  <si>
    <t>AKIBAT</t>
  </si>
  <si>
    <t>KETERCAPAIAN STANDAR</t>
  </si>
  <si>
    <t>TANGGAPAN AUDITI</t>
  </si>
  <si>
    <t>RENCANA PERBAIKAN</t>
  </si>
  <si>
    <t>JADWAL PERBAIKAN</t>
  </si>
  <si>
    <t>PENANGGUNG JAWAB</t>
  </si>
  <si>
    <t>RENCANA PENCEGAHAN</t>
  </si>
  <si>
    <t>JADWAL PENCEGAHAN</t>
  </si>
  <si>
    <t>KONDISI</t>
  </si>
  <si>
    <t xml:space="preserve">Tersedianya dokumen pemantauan dan evaluasi (hasil audit, hasil pengukuran kepuasan mahasiswa) secara periodik terhadap Program Studi dalam melaksanakan kegiatan Pembelajaran dalam rangka menjaga dan meningkatkan mutu proses pembelajaran.
</t>
  </si>
  <si>
    <t>TEMPAT PERSETUJUAN</t>
  </si>
  <si>
    <t>PIMPINAN AUDITI:</t>
  </si>
  <si>
    <t>TANDA TANGAN:</t>
  </si>
  <si>
    <t>AUDITOR:</t>
  </si>
  <si>
    <t>DIREVIEW OLEH:</t>
  </si>
  <si>
    <t>KETUA P2MPP:</t>
  </si>
  <si>
    <t>Lead Auditor: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</si>
</sst>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dd\,\ d\ mmmm\ yyyy"/>
    <numFmt numFmtId="165" formatCode="m/d/yyyy\ h:mm:ss"/>
    <numFmt numFmtId="166" formatCode="d\.m"/>
  </numFmts>
  <fonts count="28">
    <font>
      <sz val="11"/>
      <color theme="1"/>
      <name val="Arial"/>
      <scheme val="minor"/>
    </font>
    <font>
      <b/>
      <sz val="16"/>
      <color theme="1"/>
      <name val="Times New Roman"/>
    </font>
    <font>
      <sz val="17"/>
      <color theme="1"/>
      <name val="Times New Roman"/>
    </font>
    <font>
      <sz val="12"/>
      <color theme="1"/>
      <name val="Times New Roman"/>
    </font>
    <font>
      <sz val="11"/>
      <color theme="1"/>
      <name val="Calibri"/>
    </font>
    <font>
      <sz val="16"/>
      <color theme="1"/>
      <name val="Times New Roman"/>
    </font>
    <font>
      <b/>
      <sz val="12"/>
      <color theme="1"/>
      <name val="Times New Roman"/>
    </font>
    <font>
      <sz val="12"/>
      <color rgb="FF000000"/>
      <name val="&quot;Times New Roman&quot;"/>
    </font>
    <font>
      <u/>
      <sz val="12"/>
      <color theme="1"/>
      <name val="Times New Roman"/>
    </font>
    <font>
      <u/>
      <sz val="12"/>
      <color rgb="FF000000"/>
      <name val="Times New Roman"/>
    </font>
    <font>
      <u/>
      <sz val="12"/>
      <color rgb="FF000000"/>
      <name val="Times New Roman"/>
    </font>
    <font>
      <sz val="14"/>
      <color theme="1"/>
      <name val="Times New Roman"/>
    </font>
    <font>
      <sz val="11"/>
      <color theme="1"/>
      <name val="Arial"/>
    </font>
    <font>
      <sz val="10"/>
      <color theme="1"/>
      <name val="Arial"/>
    </font>
    <font>
      <b/>
      <sz val="11"/>
      <color theme="1"/>
      <name val="Times New Roman"/>
    </font>
    <font>
      <sz val="11"/>
      <color theme="1"/>
      <name val="Times New Roman"/>
    </font>
    <font>
      <u/>
      <sz val="11"/>
      <color rgb="FF0000FF"/>
      <name val="Times New Roman"/>
    </font>
    <font>
      <sz val="11"/>
      <name val="Arial"/>
    </font>
    <font>
      <b/>
      <sz val="12"/>
      <color theme="1"/>
      <name val="Arial"/>
    </font>
    <font>
      <b/>
      <sz val="10"/>
      <color theme="1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1"/>
      <color rgb="FF0000FF"/>
      <name val="Times New Roman"/>
    </font>
    <font>
      <b/>
      <sz val="10"/>
      <color theme="1"/>
      <name val="Times New Roman"/>
    </font>
    <font>
      <u/>
      <sz val="10"/>
      <color theme="1"/>
      <name val="Arial"/>
    </font>
    <font>
      <sz val="11"/>
      <name val="Times New Roman"/>
    </font>
    <font>
      <u/>
      <sz val="11"/>
      <color rgb="FF1155CC"/>
      <name val="Times New Roman"/>
    </font>
    <font>
      <u/>
      <sz val="11"/>
      <color theme="10"/>
      <name val="Arial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D5A6BD"/>
        <bgColor rgb="FFD5A6BD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8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vertical="center" wrapText="1"/>
    </xf>
    <xf numFmtId="164" fontId="3" fillId="0" borderId="0" xfId="0" applyNumberFormat="1" applyFont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4" fillId="4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7" fillId="7" borderId="2" xfId="0" applyFont="1" applyFill="1" applyBorder="1" applyAlignment="1">
      <alignment horizontal="left" vertical="center"/>
    </xf>
    <xf numFmtId="0" fontId="3" fillId="0" borderId="0" xfId="0" applyFont="1" applyAlignment="1">
      <alignment wrapText="1"/>
    </xf>
    <xf numFmtId="0" fontId="9" fillId="0" borderId="1" xfId="0" applyFont="1" applyBorder="1" applyAlignment="1">
      <alignment vertical="center" wrapText="1"/>
    </xf>
    <xf numFmtId="10" fontId="3" fillId="7" borderId="1" xfId="0" applyNumberFormat="1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2" fillId="0" borderId="0" xfId="0" applyFont="1"/>
    <xf numFmtId="0" fontId="13" fillId="0" borderId="0" xfId="0" applyFont="1"/>
    <xf numFmtId="0" fontId="13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9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center" vertical="center" wrapText="1"/>
    </xf>
    <xf numFmtId="10" fontId="13" fillId="0" borderId="1" xfId="0" applyNumberFormat="1" applyFont="1" applyBorder="1" applyAlignment="1">
      <alignment vertical="center" wrapText="1"/>
    </xf>
    <xf numFmtId="0" fontId="20" fillId="0" borderId="1" xfId="0" applyFont="1" applyBorder="1" applyAlignment="1">
      <alignment vertical="center" wrapText="1"/>
    </xf>
    <xf numFmtId="0" fontId="21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/>
    </xf>
    <xf numFmtId="164" fontId="13" fillId="0" borderId="1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166" fontId="13" fillId="0" borderId="1" xfId="0" applyNumberFormat="1" applyFont="1" applyBorder="1" applyAlignment="1">
      <alignment horizontal="center" vertical="center"/>
    </xf>
    <xf numFmtId="0" fontId="27" fillId="0" borderId="1" xfId="1" applyBorder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17" fillId="0" borderId="3" xfId="0" applyFont="1" applyBorder="1"/>
    <xf numFmtId="0" fontId="19" fillId="0" borderId="0" xfId="0" applyFont="1" applyAlignment="1">
      <alignment horizontal="center" vertical="center"/>
    </xf>
    <xf numFmtId="0" fontId="19" fillId="0" borderId="5" xfId="0" applyFont="1" applyBorder="1" applyAlignment="1">
      <alignment horizontal="center" vertical="center" wrapText="1"/>
    </xf>
    <xf numFmtId="0" fontId="17" fillId="0" borderId="7" xfId="0" applyFont="1" applyBorder="1"/>
    <xf numFmtId="0" fontId="17" fillId="0" borderId="6" xfId="0" applyFont="1" applyBorder="1"/>
    <xf numFmtId="0" fontId="13" fillId="0" borderId="8" xfId="0" applyFont="1" applyBorder="1" applyAlignment="1">
      <alignment vertical="center"/>
    </xf>
    <xf numFmtId="0" fontId="17" fillId="0" borderId="9" xfId="0" applyFont="1" applyBorder="1"/>
    <xf numFmtId="0" fontId="17" fillId="0" borderId="10" xfId="0" applyFont="1" applyBorder="1"/>
    <xf numFmtId="0" fontId="17" fillId="0" borderId="11" xfId="0" applyFont="1" applyBorder="1"/>
    <xf numFmtId="0" fontId="17" fillId="0" borderId="12" xfId="0" applyFont="1" applyBorder="1"/>
    <xf numFmtId="0" fontId="13" fillId="0" borderId="5" xfId="0" applyFont="1" applyBorder="1" applyAlignment="1">
      <alignment horizontal="center" vertical="center" wrapText="1"/>
    </xf>
    <xf numFmtId="0" fontId="19" fillId="0" borderId="5" xfId="0" applyFont="1" applyBorder="1" applyAlignment="1">
      <alignment vertical="center"/>
    </xf>
    <xf numFmtId="0" fontId="19" fillId="0" borderId="5" xfId="0" applyFont="1" applyBorder="1" applyAlignment="1">
      <alignment horizontal="center" vertical="center"/>
    </xf>
    <xf numFmtId="0" fontId="13" fillId="0" borderId="5" xfId="0" applyFont="1" applyBorder="1" applyAlignment="1">
      <alignment vertical="center"/>
    </xf>
    <xf numFmtId="0" fontId="13" fillId="0" borderId="5" xfId="0" applyFont="1" applyBorder="1" applyAlignment="1">
      <alignment horizontal="center" vertical="center"/>
    </xf>
    <xf numFmtId="165" fontId="13" fillId="0" borderId="5" xfId="0" applyNumberFormat="1" applyFont="1" applyBorder="1" applyAlignment="1">
      <alignment horizontal="center" vertical="center"/>
    </xf>
    <xf numFmtId="0" fontId="19" fillId="9" borderId="5" xfId="0" applyFont="1" applyFill="1" applyBorder="1" applyAlignment="1">
      <alignment horizontal="center" vertical="center"/>
    </xf>
    <xf numFmtId="0" fontId="19" fillId="9" borderId="8" xfId="0" applyFont="1" applyFill="1" applyBorder="1" applyAlignment="1">
      <alignment vertical="center"/>
    </xf>
    <xf numFmtId="0" fontId="19" fillId="0" borderId="8" xfId="0" applyFont="1" applyBorder="1" applyAlignment="1">
      <alignment vertical="top"/>
    </xf>
    <xf numFmtId="0" fontId="19" fillId="0" borderId="5" xfId="0" applyFont="1" applyBorder="1" applyAlignment="1">
      <alignment horizontal="right" vertical="center"/>
    </xf>
    <xf numFmtId="0" fontId="19" fillId="9" borderId="5" xfId="0" applyFont="1" applyFill="1" applyBorder="1" applyAlignment="1">
      <alignment vertical="center"/>
    </xf>
    <xf numFmtId="0" fontId="19" fillId="0" borderId="5" xfId="0" applyFont="1" applyBorder="1" applyAlignment="1">
      <alignment vertical="top"/>
    </xf>
    <xf numFmtId="0" fontId="18" fillId="0" borderId="0" xfId="0" applyFont="1" applyAlignment="1">
      <alignment horizontal="center" vertical="center"/>
    </xf>
    <xf numFmtId="164" fontId="13" fillId="0" borderId="0" xfId="0" applyNumberFormat="1" applyFont="1" applyAlignment="1">
      <alignment horizontal="left" vertical="center"/>
    </xf>
    <xf numFmtId="0" fontId="19" fillId="0" borderId="4" xfId="0" applyFont="1" applyBorder="1" applyAlignment="1">
      <alignment horizontal="center" vertical="center"/>
    </xf>
    <xf numFmtId="0" fontId="17" fillId="0" borderId="2" xfId="0" applyFont="1" applyBorder="1"/>
    <xf numFmtId="0" fontId="15" fillId="0" borderId="0" xfId="0" applyFont="1" applyAlignment="1">
      <alignment horizontal="center"/>
    </xf>
    <xf numFmtId="0" fontId="16" fillId="0" borderId="3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3" fillId="10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3">
    <dxf>
      <fill>
        <patternFill patternType="solid">
          <fgColor rgb="FF00FF00"/>
          <bgColor rgb="FF00FF00"/>
        </patternFill>
      </fill>
    </dxf>
    <dxf>
      <font>
        <color rgb="FF000000"/>
      </font>
      <fill>
        <patternFill patternType="solid">
          <fgColor rgb="FF00FF00"/>
          <bgColor rgb="FF00FF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2886075</xdr:colOff>
      <xdr:row>0</xdr:row>
      <xdr:rowOff>19050</xdr:rowOff>
    </xdr:from>
    <xdr:ext cx="1238250" cy="1238250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2733675</xdr:colOff>
      <xdr:row>0</xdr:row>
      <xdr:rowOff>38100</xdr:rowOff>
    </xdr:from>
    <xdr:ext cx="1323975" cy="1333500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polinema.ac.id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polinema.ac.i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zoomScale="40" zoomScaleNormal="48" workbookViewId="0">
      <pane ySplit="6" topLeftCell="A7" activePane="bottomLeft" state="frozen"/>
      <selection pane="bottomLeft" activeCell="G7" sqref="G7"/>
    </sheetView>
  </sheetViews>
  <sheetFormatPr defaultColWidth="12.6640625" defaultRowHeight="15" customHeight="1"/>
  <cols>
    <col min="1" max="1" width="35.1640625" customWidth="1"/>
    <col min="2" max="2" width="69.25" customWidth="1"/>
    <col min="3" max="3" width="56.75" customWidth="1"/>
    <col min="4" max="5" width="39.6640625" customWidth="1"/>
    <col min="6" max="8" width="25.25" customWidth="1"/>
  </cols>
  <sheetData>
    <row r="1" spans="1:8" ht="30" customHeight="1">
      <c r="A1" s="1" t="s">
        <v>0</v>
      </c>
      <c r="B1" s="2"/>
      <c r="C1" s="3"/>
      <c r="D1" s="4"/>
      <c r="E1" s="4"/>
      <c r="F1" s="5"/>
      <c r="G1" s="5"/>
      <c r="H1" s="5"/>
    </row>
    <row r="2" spans="1:8" ht="20.25" customHeight="1">
      <c r="A2" s="1" t="s">
        <v>1</v>
      </c>
      <c r="B2" s="2"/>
      <c r="C2" s="3"/>
      <c r="D2" s="4"/>
      <c r="E2" s="4"/>
      <c r="F2" s="5"/>
      <c r="G2" s="5"/>
      <c r="H2" s="5"/>
    </row>
    <row r="3" spans="1:8" ht="27.75" customHeight="1">
      <c r="A3" s="6" t="s">
        <v>2</v>
      </c>
      <c r="B3" s="6"/>
      <c r="C3" s="7"/>
      <c r="D3" s="4"/>
      <c r="E3" s="4"/>
      <c r="F3" s="5"/>
      <c r="G3" s="5"/>
      <c r="H3" s="5"/>
    </row>
    <row r="4" spans="1:8" ht="3" customHeight="1">
      <c r="A4" s="4"/>
      <c r="B4" s="4"/>
      <c r="C4" s="3"/>
      <c r="D4" s="4"/>
      <c r="E4" s="4"/>
      <c r="F4" s="8" t="s">
        <v>3</v>
      </c>
      <c r="G4" s="8" t="s">
        <v>4</v>
      </c>
      <c r="H4" s="5"/>
    </row>
    <row r="5" spans="1:8" ht="14.25" customHeight="1">
      <c r="A5" s="9"/>
      <c r="B5" s="4"/>
      <c r="C5" s="3"/>
      <c r="D5" s="4"/>
      <c r="E5" s="4"/>
      <c r="F5" s="10"/>
      <c r="G5" s="10"/>
      <c r="H5" s="5"/>
    </row>
    <row r="6" spans="1:8" ht="54" customHeight="1">
      <c r="A6" s="11" t="s">
        <v>5</v>
      </c>
      <c r="B6" s="11" t="s">
        <v>6</v>
      </c>
      <c r="C6" s="11" t="s">
        <v>7</v>
      </c>
      <c r="D6" s="11" t="s">
        <v>8</v>
      </c>
      <c r="E6" s="11" t="s">
        <v>9</v>
      </c>
      <c r="F6" s="12" t="s">
        <v>10</v>
      </c>
      <c r="G6" s="12" t="s">
        <v>10</v>
      </c>
      <c r="H6" s="12" t="s">
        <v>11</v>
      </c>
    </row>
    <row r="7" spans="1:8" ht="81.75" customHeight="1">
      <c r="A7" s="13"/>
      <c r="B7" s="14"/>
      <c r="C7" s="15"/>
      <c r="D7" s="16"/>
      <c r="E7" s="46"/>
      <c r="F7" s="18"/>
      <c r="G7" s="18"/>
      <c r="H7" s="19"/>
    </row>
    <row r="8" spans="1:8" ht="58.5" customHeight="1">
      <c r="A8" s="13"/>
      <c r="B8" s="14"/>
      <c r="C8" s="20"/>
      <c r="D8" s="21"/>
      <c r="E8" s="22"/>
      <c r="F8" s="18"/>
      <c r="G8" s="18"/>
      <c r="H8" s="19"/>
    </row>
    <row r="9" spans="1:8" ht="58.5" customHeight="1">
      <c r="A9" s="13"/>
      <c r="B9" s="14"/>
      <c r="C9" s="20"/>
      <c r="D9" s="16"/>
      <c r="E9" s="17"/>
      <c r="F9" s="18"/>
      <c r="G9" s="18"/>
      <c r="H9" s="19"/>
    </row>
    <row r="10" spans="1:8" ht="58.5" customHeight="1">
      <c r="A10" s="13"/>
      <c r="B10" s="23"/>
      <c r="C10" s="20"/>
      <c r="D10" s="16"/>
      <c r="E10" s="17"/>
      <c r="F10" s="18"/>
      <c r="G10" s="18"/>
      <c r="H10" s="19"/>
    </row>
    <row r="11" spans="1:8" ht="58.5" customHeight="1">
      <c r="A11" s="13"/>
      <c r="B11" s="14"/>
      <c r="C11" s="20"/>
      <c r="D11" s="16"/>
      <c r="E11" s="17"/>
      <c r="F11" s="18"/>
      <c r="G11" s="18"/>
      <c r="H11" s="19"/>
    </row>
    <row r="12" spans="1:8" ht="58.5" customHeight="1">
      <c r="A12" s="13"/>
      <c r="B12" s="14"/>
      <c r="C12" s="20"/>
      <c r="D12" s="16"/>
      <c r="E12" s="17"/>
      <c r="F12" s="18"/>
      <c r="G12" s="18"/>
      <c r="H12" s="19"/>
    </row>
    <row r="13" spans="1:8" ht="58.5" customHeight="1">
      <c r="A13" s="13"/>
      <c r="B13" s="14"/>
      <c r="C13" s="20"/>
      <c r="D13" s="16"/>
      <c r="E13" s="17"/>
      <c r="F13" s="18"/>
      <c r="G13" s="18"/>
      <c r="H13" s="19"/>
    </row>
    <row r="14" spans="1:8" ht="58.5" customHeight="1">
      <c r="A14" s="13"/>
      <c r="B14" s="14"/>
      <c r="C14" s="20"/>
      <c r="D14" s="16"/>
      <c r="E14" s="24"/>
      <c r="F14" s="18"/>
      <c r="G14" s="18"/>
      <c r="H14" s="19"/>
    </row>
    <row r="15" spans="1:8" ht="58.5" customHeight="1">
      <c r="A15" s="13"/>
      <c r="B15" s="14"/>
      <c r="C15" s="20"/>
      <c r="D15" s="16"/>
      <c r="E15" s="24"/>
      <c r="F15" s="18"/>
      <c r="G15" s="18"/>
      <c r="H15" s="19"/>
    </row>
    <row r="16" spans="1:8" ht="162" customHeight="1">
      <c r="A16" s="13"/>
      <c r="B16" s="14"/>
      <c r="C16" s="20"/>
      <c r="D16" s="16"/>
      <c r="E16" s="22"/>
      <c r="F16" s="18"/>
      <c r="G16" s="18"/>
      <c r="H16" s="19"/>
    </row>
    <row r="17" spans="1:8" ht="58.5" customHeight="1">
      <c r="A17" s="13"/>
      <c r="B17" s="14"/>
      <c r="C17" s="14"/>
      <c r="D17" s="16"/>
      <c r="E17" s="25"/>
      <c r="F17" s="18"/>
      <c r="G17" s="18"/>
      <c r="H17" s="19"/>
    </row>
    <row r="18" spans="1:8" ht="58.5" customHeight="1">
      <c r="A18" s="13"/>
      <c r="B18" s="14"/>
      <c r="C18" s="14"/>
      <c r="D18" s="16"/>
      <c r="E18" s="25"/>
      <c r="F18" s="18"/>
      <c r="G18" s="18"/>
      <c r="H18" s="19"/>
    </row>
    <row r="19" spans="1:8" ht="58.5" customHeight="1">
      <c r="A19" s="13"/>
      <c r="B19" s="14"/>
      <c r="C19" s="14"/>
      <c r="D19" s="16"/>
      <c r="E19" s="25"/>
      <c r="F19" s="18"/>
      <c r="G19" s="18"/>
      <c r="H19" s="19"/>
    </row>
    <row r="20" spans="1:8" ht="58.5" customHeight="1">
      <c r="A20" s="13"/>
      <c r="B20" s="14"/>
      <c r="C20" s="14"/>
      <c r="D20" s="16"/>
      <c r="E20" s="25"/>
      <c r="F20" s="18"/>
      <c r="G20" s="18"/>
      <c r="H20" s="19"/>
    </row>
    <row r="21" spans="1:8" ht="58.5" customHeight="1">
      <c r="A21" s="13"/>
      <c r="B21" s="14"/>
      <c r="C21" s="14"/>
      <c r="D21" s="25"/>
      <c r="E21" s="25"/>
      <c r="F21" s="18"/>
      <c r="G21" s="18"/>
      <c r="H21" s="19"/>
    </row>
    <row r="22" spans="1:8" ht="58.5" customHeight="1">
      <c r="A22" s="13"/>
      <c r="B22" s="14"/>
      <c r="C22" s="14"/>
      <c r="D22" s="25"/>
      <c r="E22" s="25"/>
      <c r="F22" s="18"/>
      <c r="G22" s="18"/>
      <c r="H22" s="19"/>
    </row>
    <row r="23" spans="1:8" ht="58.5" customHeight="1">
      <c r="A23" s="13"/>
      <c r="B23" s="14"/>
      <c r="C23" s="14"/>
      <c r="D23" s="25"/>
      <c r="E23" s="25"/>
      <c r="F23" s="18"/>
      <c r="G23" s="18"/>
      <c r="H23" s="19"/>
    </row>
    <row r="24" spans="1:8" ht="58.5" customHeight="1">
      <c r="A24" s="13"/>
      <c r="B24" s="14"/>
      <c r="C24" s="14"/>
      <c r="D24" s="25"/>
      <c r="E24" s="25"/>
      <c r="F24" s="18"/>
      <c r="G24" s="18"/>
      <c r="H24" s="19"/>
    </row>
    <row r="25" spans="1:8" ht="58.5" customHeight="1">
      <c r="A25" s="13"/>
      <c r="B25" s="14"/>
      <c r="C25" s="14"/>
      <c r="D25" s="25"/>
      <c r="E25" s="25"/>
      <c r="F25" s="18"/>
      <c r="G25" s="18"/>
      <c r="H25" s="19"/>
    </row>
    <row r="26" spans="1:8" ht="58.5" customHeight="1">
      <c r="A26" s="13"/>
      <c r="B26" s="14"/>
      <c r="C26" s="14"/>
      <c r="D26" s="25"/>
      <c r="E26" s="25"/>
      <c r="F26" s="18"/>
      <c r="G26" s="18"/>
      <c r="H26" s="19"/>
    </row>
    <row r="27" spans="1:8" ht="58.5" customHeight="1">
      <c r="A27" s="13"/>
      <c r="B27" s="14"/>
      <c r="C27" s="14"/>
      <c r="D27" s="25"/>
      <c r="E27" s="25"/>
      <c r="F27" s="18"/>
      <c r="G27" s="18"/>
      <c r="H27" s="19"/>
    </row>
    <row r="28" spans="1:8" ht="58.5" customHeight="1">
      <c r="A28" s="13"/>
      <c r="B28" s="14"/>
      <c r="C28" s="14"/>
      <c r="D28" s="25"/>
      <c r="E28" s="25"/>
      <c r="F28" s="18"/>
      <c r="G28" s="18"/>
      <c r="H28" s="19"/>
    </row>
    <row r="29" spans="1:8" ht="58.5" customHeight="1">
      <c r="A29" s="13"/>
      <c r="B29" s="14"/>
      <c r="C29" s="14"/>
      <c r="D29" s="25"/>
      <c r="E29" s="25"/>
      <c r="F29" s="18"/>
      <c r="G29" s="18"/>
      <c r="H29" s="19"/>
    </row>
    <row r="30" spans="1:8" ht="58.5" customHeight="1">
      <c r="A30" s="13"/>
      <c r="B30" s="14"/>
      <c r="C30" s="14"/>
      <c r="D30" s="25"/>
      <c r="E30" s="25"/>
      <c r="F30" s="18"/>
      <c r="G30" s="18"/>
      <c r="H30" s="19"/>
    </row>
    <row r="31" spans="1:8" ht="58.5" customHeight="1">
      <c r="A31" s="13"/>
      <c r="B31" s="14"/>
      <c r="C31" s="14"/>
      <c r="D31" s="25"/>
      <c r="E31" s="25"/>
      <c r="F31" s="18"/>
      <c r="G31" s="18"/>
      <c r="H31" s="19"/>
    </row>
    <row r="32" spans="1:8" ht="58.5" customHeight="1">
      <c r="A32" s="13"/>
      <c r="B32" s="14"/>
      <c r="C32" s="14"/>
      <c r="D32" s="25"/>
      <c r="E32" s="25"/>
      <c r="F32" s="18"/>
      <c r="G32" s="18"/>
      <c r="H32" s="19"/>
    </row>
    <row r="33" spans="1:8" ht="58.5" customHeight="1">
      <c r="A33" s="13"/>
      <c r="B33" s="14"/>
      <c r="C33" s="14"/>
      <c r="D33" s="25"/>
      <c r="E33" s="25"/>
      <c r="F33" s="18"/>
      <c r="G33" s="18"/>
      <c r="H33" s="19"/>
    </row>
    <row r="34" spans="1:8" ht="58.5" customHeight="1">
      <c r="A34" s="13"/>
      <c r="B34" s="14"/>
      <c r="C34" s="14"/>
      <c r="D34" s="25"/>
      <c r="E34" s="25"/>
      <c r="F34" s="18"/>
      <c r="G34" s="18"/>
      <c r="H34" s="19"/>
    </row>
    <row r="35" spans="1:8" ht="58.5" customHeight="1">
      <c r="A35" s="13"/>
      <c r="B35" s="14"/>
      <c r="C35" s="14"/>
      <c r="D35" s="25"/>
      <c r="E35" s="25"/>
      <c r="F35" s="18"/>
      <c r="G35" s="18"/>
      <c r="H35" s="19"/>
    </row>
    <row r="36" spans="1:8" ht="58.5" customHeight="1">
      <c r="A36" s="13"/>
      <c r="B36" s="14"/>
      <c r="C36" s="14"/>
      <c r="D36" s="25"/>
      <c r="E36" s="25"/>
      <c r="F36" s="18"/>
      <c r="G36" s="18"/>
      <c r="H36" s="19"/>
    </row>
    <row r="37" spans="1:8" ht="58.5" customHeight="1">
      <c r="A37" s="13"/>
      <c r="B37" s="14"/>
      <c r="C37" s="14"/>
      <c r="D37" s="25"/>
      <c r="E37" s="25"/>
      <c r="F37" s="18"/>
      <c r="G37" s="18"/>
      <c r="H37" s="19"/>
    </row>
    <row r="38" spans="1:8" ht="58.5" customHeight="1">
      <c r="A38" s="13"/>
      <c r="B38" s="14"/>
      <c r="C38" s="14"/>
      <c r="D38" s="25"/>
      <c r="E38" s="25"/>
      <c r="F38" s="18"/>
      <c r="G38" s="18"/>
      <c r="H38" s="19"/>
    </row>
    <row r="39" spans="1:8" ht="58.5" customHeight="1">
      <c r="A39" s="13"/>
      <c r="B39" s="14"/>
      <c r="C39" s="14"/>
      <c r="D39" s="25"/>
      <c r="E39" s="25"/>
      <c r="F39" s="18"/>
      <c r="G39" s="18"/>
      <c r="H39" s="19"/>
    </row>
    <row r="40" spans="1:8" ht="58.5" customHeight="1">
      <c r="A40" s="13"/>
      <c r="B40" s="14"/>
      <c r="C40" s="14"/>
      <c r="D40" s="25"/>
      <c r="E40" s="25"/>
      <c r="F40" s="18"/>
      <c r="G40" s="18"/>
      <c r="H40" s="19"/>
    </row>
  </sheetData>
  <dataValidations count="2">
    <dataValidation type="list" allowBlank="1" showErrorMessage="1" sqref="H7:H40" xr:uid="{00000000-0002-0000-0000-000000000000}">
      <formula1>"CLOSED,OPEN"</formula1>
    </dataValidation>
    <dataValidation type="list" allowBlank="1" showErrorMessage="1" sqref="B2" xr:uid="{00000000-0002-0000-0000-000001000000}">
      <formula1>"JURUSAN ADMINISTRASI NIAGA,JURUSAN AKUNTANSI,JURUSAN TEKNIK ELEKTRO,JURUSAN TEKNOLOGI INFORMASI,JURUSAN TEKNIK KIMIA,JURUSAN TEKNIK MESIN,JURUSAN TEKNIK SIPIL,PSDKU KEDIRI,PSDKU LUMAJANG,PSDKU PAMEKASAN,PUSAT"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Z1000"/>
  <sheetViews>
    <sheetView tabSelected="1" zoomScale="62" zoomScaleNormal="100" workbookViewId="0">
      <pane ySplit="12" topLeftCell="A13" activePane="bottomLeft" state="frozen"/>
      <selection pane="bottomLeft" activeCell="C13" sqref="C13"/>
    </sheetView>
  </sheetViews>
  <sheetFormatPr defaultColWidth="12.6640625" defaultRowHeight="15" customHeight="1"/>
  <cols>
    <col min="1" max="1" width="6.4140625" customWidth="1"/>
    <col min="2" max="2" width="44" customWidth="1"/>
    <col min="3" max="3" width="34.25" customWidth="1"/>
    <col min="4" max="4" width="43.4140625" customWidth="1"/>
    <col min="5" max="5" width="23.5" customWidth="1"/>
    <col min="6" max="6" width="17.9140625" customWidth="1"/>
  </cols>
  <sheetData>
    <row r="1" spans="1:26" ht="18">
      <c r="A1" s="81" t="s">
        <v>12</v>
      </c>
      <c r="B1" s="48"/>
      <c r="C1" s="48"/>
      <c r="D1" s="48"/>
      <c r="E1" s="48"/>
      <c r="F1" s="48"/>
      <c r="G1" s="48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7"/>
    </row>
    <row r="2" spans="1:26" ht="18">
      <c r="A2" s="81" t="s">
        <v>13</v>
      </c>
      <c r="B2" s="48"/>
      <c r="C2" s="48"/>
      <c r="D2" s="48"/>
      <c r="E2" s="48"/>
      <c r="F2" s="48"/>
      <c r="G2" s="48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7"/>
    </row>
    <row r="3" spans="1:26" ht="15.5">
      <c r="A3" s="82" t="s">
        <v>14</v>
      </c>
      <c r="B3" s="48"/>
      <c r="C3" s="48"/>
      <c r="D3" s="48"/>
      <c r="E3" s="48"/>
      <c r="F3" s="48"/>
      <c r="G3" s="48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7"/>
    </row>
    <row r="4" spans="1:26" ht="14">
      <c r="A4" s="83" t="s">
        <v>15</v>
      </c>
      <c r="B4" s="48"/>
      <c r="C4" s="48"/>
      <c r="D4" s="48"/>
      <c r="E4" s="48"/>
      <c r="F4" s="48"/>
      <c r="G4" s="48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7"/>
    </row>
    <row r="5" spans="1:26" ht="14">
      <c r="A5" s="79" t="s">
        <v>16</v>
      </c>
      <c r="B5" s="48"/>
      <c r="C5" s="48"/>
      <c r="D5" s="48"/>
      <c r="E5" s="48"/>
      <c r="F5" s="48"/>
      <c r="G5" s="48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7"/>
    </row>
    <row r="6" spans="1:26" ht="14">
      <c r="A6" s="79" t="s">
        <v>17</v>
      </c>
      <c r="B6" s="48"/>
      <c r="C6" s="48"/>
      <c r="D6" s="48"/>
      <c r="E6" s="48"/>
      <c r="F6" s="48"/>
      <c r="G6" s="48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7"/>
    </row>
    <row r="7" spans="1:26" ht="14">
      <c r="A7" s="80" t="s">
        <v>18</v>
      </c>
      <c r="B7" s="53"/>
      <c r="C7" s="53"/>
      <c r="D7" s="53"/>
      <c r="E7" s="53"/>
      <c r="F7" s="53"/>
      <c r="G7" s="53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7"/>
    </row>
    <row r="8" spans="1:26" ht="15.5">
      <c r="A8" s="75" t="s">
        <v>19</v>
      </c>
      <c r="B8" s="48"/>
      <c r="C8" s="48"/>
      <c r="D8" s="48"/>
      <c r="E8" s="48"/>
      <c r="F8" s="48"/>
      <c r="G8" s="48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 ht="14">
      <c r="A9" s="28"/>
      <c r="B9" s="28" t="s">
        <v>20</v>
      </c>
      <c r="C9" s="28" t="s">
        <v>21</v>
      </c>
      <c r="D9" s="28" t="s">
        <v>22</v>
      </c>
      <c r="E9" s="28" t="s">
        <v>23</v>
      </c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14">
      <c r="A10" s="29"/>
      <c r="B10" s="29" t="s">
        <v>24</v>
      </c>
      <c r="C10" s="30" t="str">
        <f>'Instrumen Audit SPMI 2021'!B1&amp;" "&amp;'Instrumen Audit SPMI 2021'!B2</f>
        <v xml:space="preserve"> </v>
      </c>
      <c r="D10" s="30"/>
      <c r="E10" s="29" t="s">
        <v>25</v>
      </c>
      <c r="F10" s="76"/>
      <c r="G10" s="48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14">
      <c r="A11" s="77" t="s">
        <v>26</v>
      </c>
      <c r="B11" s="77" t="s">
        <v>6</v>
      </c>
      <c r="C11" s="77" t="s">
        <v>27</v>
      </c>
      <c r="D11" s="77" t="s">
        <v>28</v>
      </c>
      <c r="E11" s="77" t="s">
        <v>29</v>
      </c>
      <c r="F11" s="65" t="s">
        <v>30</v>
      </c>
      <c r="G11" s="5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14">
      <c r="A12" s="78"/>
      <c r="B12" s="78"/>
      <c r="C12" s="78"/>
      <c r="D12" s="78"/>
      <c r="E12" s="78"/>
      <c r="F12" s="31" t="s">
        <v>31</v>
      </c>
      <c r="G12" s="31" t="s">
        <v>32</v>
      </c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79.5" customHeight="1">
      <c r="A13" s="32"/>
      <c r="B13" s="33"/>
      <c r="C13" s="33"/>
      <c r="D13" s="33"/>
      <c r="E13" s="32"/>
      <c r="F13" s="34"/>
      <c r="G13" s="84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79.5" customHeight="1">
      <c r="A14" s="32"/>
      <c r="B14" s="33"/>
      <c r="C14" s="33"/>
      <c r="D14" s="33"/>
      <c r="E14" s="32"/>
      <c r="F14" s="34"/>
      <c r="G14" s="84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79.5" customHeight="1">
      <c r="A15" s="32"/>
      <c r="B15" s="33"/>
      <c r="C15" s="33"/>
      <c r="D15" s="33"/>
      <c r="E15" s="32"/>
      <c r="F15" s="34"/>
      <c r="G15" s="84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79.5" customHeight="1">
      <c r="A16" s="32"/>
      <c r="B16" s="35"/>
      <c r="C16" s="33"/>
      <c r="D16" s="33"/>
      <c r="E16" s="32"/>
      <c r="F16" s="34"/>
      <c r="G16" s="84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79.5" customHeight="1">
      <c r="A17" s="32"/>
      <c r="B17" s="33"/>
      <c r="C17" s="33"/>
      <c r="D17" s="33"/>
      <c r="E17" s="32"/>
      <c r="F17" s="34"/>
      <c r="G17" s="84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79.5" customHeight="1">
      <c r="A18" s="32"/>
      <c r="B18" s="33"/>
      <c r="C18" s="33"/>
      <c r="D18" s="33"/>
      <c r="E18" s="32"/>
      <c r="F18" s="34"/>
      <c r="G18" s="84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79.5" customHeight="1">
      <c r="A19" s="32"/>
      <c r="B19" s="33"/>
      <c r="C19" s="33"/>
      <c r="D19" s="33"/>
      <c r="E19" s="32"/>
      <c r="F19" s="34"/>
      <c r="G19" s="84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ht="79.5" customHeight="1">
      <c r="A20" s="32"/>
      <c r="B20" s="33"/>
      <c r="C20" s="36"/>
      <c r="D20" s="33"/>
      <c r="E20" s="32"/>
      <c r="F20" s="34"/>
      <c r="G20" s="84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ht="79.5" customHeight="1">
      <c r="A21" s="32"/>
      <c r="B21" s="33"/>
      <c r="C21" s="33"/>
      <c r="D21" s="33"/>
      <c r="E21" s="32"/>
      <c r="F21" s="34"/>
      <c r="G21" s="84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79.5" customHeight="1">
      <c r="A22" s="32"/>
      <c r="B22" s="33"/>
      <c r="C22" s="33"/>
      <c r="D22" s="33"/>
      <c r="E22" s="32"/>
      <c r="F22" s="34"/>
      <c r="G22" s="84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79.5" hidden="1" customHeight="1">
      <c r="A23" s="32"/>
      <c r="B23" s="33"/>
      <c r="C23" s="37"/>
      <c r="D23" s="33"/>
      <c r="E23" s="32"/>
      <c r="F23" s="34"/>
      <c r="G23" s="84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79.5" customHeight="1">
      <c r="A24" s="32"/>
      <c r="B24" s="33"/>
      <c r="C24" s="33"/>
      <c r="D24" s="33"/>
      <c r="E24" s="32"/>
      <c r="F24" s="34"/>
      <c r="G24" s="84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ht="79.5" hidden="1" customHeight="1">
      <c r="A25" s="32"/>
      <c r="B25" s="33"/>
      <c r="C25" s="33"/>
      <c r="D25" s="33"/>
      <c r="E25" s="32"/>
      <c r="F25" s="34"/>
      <c r="G25" s="84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ht="79.5" hidden="1" customHeight="1">
      <c r="A26" s="32"/>
      <c r="B26" s="33"/>
      <c r="C26" s="33"/>
      <c r="D26" s="33"/>
      <c r="E26" s="32"/>
      <c r="F26" s="34"/>
      <c r="G26" s="84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79.5" hidden="1" customHeight="1">
      <c r="A27" s="32"/>
      <c r="B27" s="33"/>
      <c r="C27" s="33"/>
      <c r="D27" s="33"/>
      <c r="E27" s="32"/>
      <c r="F27" s="34"/>
      <c r="G27" s="84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79.5" hidden="1" customHeight="1">
      <c r="A28" s="32"/>
      <c r="B28" s="33"/>
      <c r="C28" s="33"/>
      <c r="D28" s="33"/>
      <c r="E28" s="32"/>
      <c r="F28" s="34"/>
      <c r="G28" s="84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ht="79.5" hidden="1" customHeight="1">
      <c r="A29" s="32"/>
      <c r="B29" s="33"/>
      <c r="C29" s="33"/>
      <c r="D29" s="33"/>
      <c r="E29" s="32"/>
      <c r="F29" s="34"/>
      <c r="G29" s="84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79.5" hidden="1" customHeight="1">
      <c r="A30" s="32"/>
      <c r="B30" s="33"/>
      <c r="C30" s="33"/>
      <c r="D30" s="33"/>
      <c r="E30" s="32"/>
      <c r="F30" s="34"/>
      <c r="G30" s="84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ht="79.5" hidden="1" customHeight="1">
      <c r="A31" s="32"/>
      <c r="B31" s="33"/>
      <c r="C31" s="33"/>
      <c r="D31" s="33"/>
      <c r="E31" s="32"/>
      <c r="F31" s="34"/>
      <c r="G31" s="84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ht="79.5" hidden="1" customHeight="1">
      <c r="A32" s="32"/>
      <c r="B32" s="33"/>
      <c r="C32" s="33"/>
      <c r="D32" s="33"/>
      <c r="E32" s="32"/>
      <c r="F32" s="34"/>
      <c r="G32" s="84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ht="79.5" customHeight="1">
      <c r="A33" s="32"/>
      <c r="B33" s="33"/>
      <c r="C33" s="33"/>
      <c r="D33" s="33"/>
      <c r="E33" s="32"/>
      <c r="F33" s="34"/>
      <c r="G33" s="84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ht="79.5" customHeight="1">
      <c r="A34" s="32"/>
      <c r="B34" s="33"/>
      <c r="C34" s="33"/>
      <c r="D34" s="33"/>
      <c r="E34" s="32"/>
      <c r="F34" s="34"/>
      <c r="G34" s="84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ht="79.5" hidden="1" customHeight="1">
      <c r="A35" s="32"/>
      <c r="B35" s="33"/>
      <c r="C35" s="33"/>
      <c r="D35" s="33"/>
      <c r="E35" s="32"/>
      <c r="F35" s="34"/>
      <c r="G35" s="84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ht="79.5" hidden="1" customHeight="1">
      <c r="A36" s="32"/>
      <c r="B36" s="33"/>
      <c r="C36" s="33"/>
      <c r="D36" s="33"/>
      <c r="E36" s="32"/>
      <c r="F36" s="34"/>
      <c r="G36" s="84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ht="79.5" hidden="1" customHeight="1">
      <c r="A37" s="32"/>
      <c r="B37" s="33"/>
      <c r="C37" s="33"/>
      <c r="D37" s="33"/>
      <c r="E37" s="32"/>
      <c r="F37" s="34"/>
      <c r="G37" s="84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ht="79.5" hidden="1" customHeight="1">
      <c r="A38" s="32"/>
      <c r="B38" s="33"/>
      <c r="C38" s="33"/>
      <c r="D38" s="33"/>
      <c r="E38" s="32"/>
      <c r="F38" s="34"/>
      <c r="G38" s="84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ht="79.5" hidden="1" customHeight="1">
      <c r="A39" s="32"/>
      <c r="B39" s="33"/>
      <c r="C39" s="33"/>
      <c r="D39" s="33"/>
      <c r="E39" s="32"/>
      <c r="F39" s="34"/>
      <c r="G39" s="84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ht="79.5" customHeight="1">
      <c r="A40" s="32"/>
      <c r="B40" s="33"/>
      <c r="C40" s="33"/>
      <c r="D40" s="33"/>
      <c r="E40" s="32"/>
      <c r="F40" s="34"/>
      <c r="G40" s="84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ht="79.5" hidden="1" customHeight="1">
      <c r="A41" s="38">
        <f>'Instrumen Audit SPMI 2021'!A35</f>
        <v>0</v>
      </c>
      <c r="B41" s="33" t="s">
        <v>33</v>
      </c>
      <c r="C41" s="33" t="s">
        <v>33</v>
      </c>
      <c r="D41" s="33" t="s">
        <v>33</v>
      </c>
      <c r="E41" s="32" t="str">
        <f t="shared" ref="E13:E105" si="0">IF(G41="open","Monev Prodi"," ")</f>
        <v xml:space="preserve"> </v>
      </c>
      <c r="F41" s="34" t="str">
        <f>IF(G41="open",'Instrumen Audit SPMI 2021'!$B$3," ")</f>
        <v xml:space="preserve"> </v>
      </c>
      <c r="G41" s="32">
        <f>'Instrumen Audit SPMI 2021'!H35</f>
        <v>0</v>
      </c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ht="79.5" hidden="1" customHeight="1">
      <c r="A42" s="38">
        <f>'Instrumen Audit SPMI 2021'!A36</f>
        <v>0</v>
      </c>
      <c r="B42" s="33">
        <f>'Instrumen Audit SPMI 2021'!B36</f>
        <v>0</v>
      </c>
      <c r="C42" s="33">
        <f>'Instrumen Audit SPMI 2021'!C36</f>
        <v>0</v>
      </c>
      <c r="D42" s="33">
        <f>'Instrumen Audit SPMI 2021'!F36</f>
        <v>0</v>
      </c>
      <c r="E42" s="32" t="str">
        <f t="shared" si="0"/>
        <v xml:space="preserve"> </v>
      </c>
      <c r="F42" s="34" t="str">
        <f>IF(G42="open",'Instrumen Audit SPMI 2021'!$B$3," ")</f>
        <v xml:space="preserve"> </v>
      </c>
      <c r="G42" s="32">
        <f>'Instrumen Audit SPMI 2021'!H36</f>
        <v>0</v>
      </c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ht="79.5" hidden="1" customHeight="1">
      <c r="A43" s="38">
        <f>'Instrumen Audit SPMI 2021'!A37</f>
        <v>0</v>
      </c>
      <c r="B43" s="33">
        <f>'Instrumen Audit SPMI 2021'!B37</f>
        <v>0</v>
      </c>
      <c r="C43" s="33">
        <f>'Instrumen Audit SPMI 2021'!C37</f>
        <v>0</v>
      </c>
      <c r="D43" s="33">
        <f>'Instrumen Audit SPMI 2021'!F37</f>
        <v>0</v>
      </c>
      <c r="E43" s="32" t="str">
        <f t="shared" si="0"/>
        <v xml:space="preserve"> </v>
      </c>
      <c r="F43" s="34" t="str">
        <f>IF(G43="open",'Instrumen Audit SPMI 2021'!$B$3," ")</f>
        <v xml:space="preserve"> </v>
      </c>
      <c r="G43" s="32">
        <f>'Instrumen Audit SPMI 2021'!H37</f>
        <v>0</v>
      </c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ht="79.5" hidden="1" customHeight="1">
      <c r="A44" s="38">
        <f>'Instrumen Audit SPMI 2021'!A38</f>
        <v>0</v>
      </c>
      <c r="B44" s="33">
        <f>'Instrumen Audit SPMI 2021'!B38</f>
        <v>0</v>
      </c>
      <c r="C44" s="33">
        <f>'Instrumen Audit SPMI 2021'!C38</f>
        <v>0</v>
      </c>
      <c r="D44" s="33">
        <f>'Instrumen Audit SPMI 2021'!F38</f>
        <v>0</v>
      </c>
      <c r="E44" s="32" t="str">
        <f t="shared" si="0"/>
        <v xml:space="preserve"> </v>
      </c>
      <c r="F44" s="34" t="str">
        <f>IF(G44="open",'Instrumen Audit SPMI 2021'!$B$3," ")</f>
        <v xml:space="preserve"> </v>
      </c>
      <c r="G44" s="32">
        <f>'Instrumen Audit SPMI 2021'!H38</f>
        <v>0</v>
      </c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ht="79.5" hidden="1" customHeight="1">
      <c r="A45" s="38">
        <f>'Instrumen Audit SPMI 2021'!A39</f>
        <v>0</v>
      </c>
      <c r="B45" s="33">
        <f>'Instrumen Audit SPMI 2021'!B39</f>
        <v>0</v>
      </c>
      <c r="C45" s="33">
        <f>'Instrumen Audit SPMI 2021'!C39</f>
        <v>0</v>
      </c>
      <c r="D45" s="33">
        <f>'Instrumen Audit SPMI 2021'!F39</f>
        <v>0</v>
      </c>
      <c r="E45" s="32" t="str">
        <f t="shared" si="0"/>
        <v xml:space="preserve"> </v>
      </c>
      <c r="F45" s="34" t="str">
        <f>IF(G45="open",'Instrumen Audit SPMI 2021'!$B$3," ")</f>
        <v xml:space="preserve"> </v>
      </c>
      <c r="G45" s="32">
        <f>'Instrumen Audit SPMI 2021'!H39</f>
        <v>0</v>
      </c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ht="79.5" hidden="1" customHeight="1">
      <c r="A46" s="38">
        <f>'Instrumen Audit SPMI 2021'!A40</f>
        <v>0</v>
      </c>
      <c r="B46" s="33">
        <f>'Instrumen Audit SPMI 2021'!B40</f>
        <v>0</v>
      </c>
      <c r="C46" s="33">
        <f>'Instrumen Audit SPMI 2021'!C40</f>
        <v>0</v>
      </c>
      <c r="D46" s="33">
        <f>'Instrumen Audit SPMI 2021'!F40</f>
        <v>0</v>
      </c>
      <c r="E46" s="32" t="str">
        <f t="shared" si="0"/>
        <v xml:space="preserve"> </v>
      </c>
      <c r="F46" s="34" t="str">
        <f>IF(G46="open",'Instrumen Audit SPMI 2021'!$B$3," ")</f>
        <v xml:space="preserve"> </v>
      </c>
      <c r="G46" s="32">
        <f>'Instrumen Audit SPMI 2021'!H40</f>
        <v>0</v>
      </c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ht="79.5" hidden="1" customHeight="1">
      <c r="A47" s="38">
        <f>'Instrumen Audit SPMI 2021'!A41</f>
        <v>0</v>
      </c>
      <c r="B47" s="33">
        <f>'Instrumen Audit SPMI 2021'!B41</f>
        <v>0</v>
      </c>
      <c r="C47" s="33">
        <f>'Instrumen Audit SPMI 2021'!C41</f>
        <v>0</v>
      </c>
      <c r="D47" s="33">
        <f>'Instrumen Audit SPMI 2021'!F41</f>
        <v>0</v>
      </c>
      <c r="E47" s="32" t="str">
        <f t="shared" si="0"/>
        <v xml:space="preserve"> </v>
      </c>
      <c r="F47" s="34" t="str">
        <f>IF(G47="open",'Instrumen Audit SPMI 2021'!$B$3," ")</f>
        <v xml:space="preserve"> </v>
      </c>
      <c r="G47" s="32">
        <f>'Instrumen Audit SPMI 2021'!H41</f>
        <v>0</v>
      </c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ht="79.5" hidden="1" customHeight="1">
      <c r="A48" s="38">
        <f>'Instrumen Audit SPMI 2021'!A42</f>
        <v>0</v>
      </c>
      <c r="B48" s="33">
        <f>'Instrumen Audit SPMI 2021'!B42</f>
        <v>0</v>
      </c>
      <c r="C48" s="33">
        <f>'Instrumen Audit SPMI 2021'!C42</f>
        <v>0</v>
      </c>
      <c r="D48" s="33">
        <f>'Instrumen Audit SPMI 2021'!F42</f>
        <v>0</v>
      </c>
      <c r="E48" s="32" t="str">
        <f t="shared" si="0"/>
        <v xml:space="preserve"> </v>
      </c>
      <c r="F48" s="34" t="str">
        <f>IF(G48="open",'Instrumen Audit SPMI 2021'!$B$3," ")</f>
        <v xml:space="preserve"> </v>
      </c>
      <c r="G48" s="32">
        <f>'Instrumen Audit SPMI 2021'!H42</f>
        <v>0</v>
      </c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ht="79.5" hidden="1" customHeight="1">
      <c r="A49" s="38">
        <f>'Instrumen Audit SPMI 2021'!A43</f>
        <v>0</v>
      </c>
      <c r="B49" s="33">
        <f>'Instrumen Audit SPMI 2021'!B43</f>
        <v>0</v>
      </c>
      <c r="C49" s="33">
        <f>'Instrumen Audit SPMI 2021'!C43</f>
        <v>0</v>
      </c>
      <c r="D49" s="33">
        <f>'Instrumen Audit SPMI 2021'!F43</f>
        <v>0</v>
      </c>
      <c r="E49" s="32" t="str">
        <f t="shared" si="0"/>
        <v xml:space="preserve"> </v>
      </c>
      <c r="F49" s="34" t="str">
        <f>IF(G49="open",'Instrumen Audit SPMI 2021'!$B$3," ")</f>
        <v xml:space="preserve"> </v>
      </c>
      <c r="G49" s="32">
        <f>'Instrumen Audit SPMI 2021'!H43</f>
        <v>0</v>
      </c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ht="79.5" hidden="1" customHeight="1">
      <c r="A50" s="38">
        <f>'Instrumen Audit SPMI 2021'!A44</f>
        <v>0</v>
      </c>
      <c r="B50" s="33">
        <f>'Instrumen Audit SPMI 2021'!B44</f>
        <v>0</v>
      </c>
      <c r="C50" s="33">
        <f>'Instrumen Audit SPMI 2021'!C44</f>
        <v>0</v>
      </c>
      <c r="D50" s="33">
        <f>'Instrumen Audit SPMI 2021'!F44</f>
        <v>0</v>
      </c>
      <c r="E50" s="32" t="str">
        <f t="shared" si="0"/>
        <v xml:space="preserve"> </v>
      </c>
      <c r="F50" s="34" t="str">
        <f>IF(G50="open",'Instrumen Audit SPMI 2021'!$B$3," ")</f>
        <v xml:space="preserve"> </v>
      </c>
      <c r="G50" s="32">
        <f>'Instrumen Audit SPMI 2021'!H44</f>
        <v>0</v>
      </c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ht="79.5" hidden="1" customHeight="1">
      <c r="A51" s="38">
        <f>'Instrumen Audit SPMI 2021'!A45</f>
        <v>0</v>
      </c>
      <c r="B51" s="33">
        <f>'Instrumen Audit SPMI 2021'!B45</f>
        <v>0</v>
      </c>
      <c r="C51" s="33">
        <f>'Instrumen Audit SPMI 2021'!C45</f>
        <v>0</v>
      </c>
      <c r="D51" s="33">
        <f>'Instrumen Audit SPMI 2021'!F45</f>
        <v>0</v>
      </c>
      <c r="E51" s="32" t="str">
        <f t="shared" si="0"/>
        <v xml:space="preserve"> </v>
      </c>
      <c r="F51" s="34" t="str">
        <f>IF(G51="open",'Instrumen Audit SPMI 2021'!$B$3," ")</f>
        <v xml:space="preserve"> </v>
      </c>
      <c r="G51" s="32">
        <f>'Instrumen Audit SPMI 2021'!H45</f>
        <v>0</v>
      </c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ht="79.5" hidden="1" customHeight="1">
      <c r="A52" s="38">
        <f>'Instrumen Audit SPMI 2021'!A46</f>
        <v>0</v>
      </c>
      <c r="B52" s="33">
        <f>'Instrumen Audit SPMI 2021'!B46</f>
        <v>0</v>
      </c>
      <c r="C52" s="33">
        <f>'Instrumen Audit SPMI 2021'!C46</f>
        <v>0</v>
      </c>
      <c r="D52" s="33">
        <f>'Instrumen Audit SPMI 2021'!F46</f>
        <v>0</v>
      </c>
      <c r="E52" s="32" t="str">
        <f t="shared" si="0"/>
        <v xml:space="preserve"> </v>
      </c>
      <c r="F52" s="34" t="str">
        <f>IF(G52="open",'Instrumen Audit SPMI 2021'!$B$3," ")</f>
        <v xml:space="preserve"> </v>
      </c>
      <c r="G52" s="32">
        <f>'Instrumen Audit SPMI 2021'!H46</f>
        <v>0</v>
      </c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79.5" hidden="1" customHeight="1">
      <c r="A53" s="38">
        <f>'Instrumen Audit SPMI 2021'!A47</f>
        <v>0</v>
      </c>
      <c r="B53" s="33">
        <f>'Instrumen Audit SPMI 2021'!B47</f>
        <v>0</v>
      </c>
      <c r="C53" s="33">
        <f>'Instrumen Audit SPMI 2021'!C47</f>
        <v>0</v>
      </c>
      <c r="D53" s="33">
        <f>'Instrumen Audit SPMI 2021'!F47</f>
        <v>0</v>
      </c>
      <c r="E53" s="32" t="str">
        <f t="shared" si="0"/>
        <v xml:space="preserve"> </v>
      </c>
      <c r="F53" s="34" t="str">
        <f>IF(G53="open",'Instrumen Audit SPMI 2021'!$B$3," ")</f>
        <v xml:space="preserve"> </v>
      </c>
      <c r="G53" s="32">
        <f>'Instrumen Audit SPMI 2021'!H47</f>
        <v>0</v>
      </c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ht="79.5" hidden="1" customHeight="1">
      <c r="A54" s="38">
        <f>'Instrumen Audit SPMI 2021'!A48</f>
        <v>0</v>
      </c>
      <c r="B54" s="33">
        <f>'Instrumen Audit SPMI 2021'!B48</f>
        <v>0</v>
      </c>
      <c r="C54" s="33">
        <f>'Instrumen Audit SPMI 2021'!C48</f>
        <v>0</v>
      </c>
      <c r="D54" s="33">
        <f>'Instrumen Audit SPMI 2021'!F48</f>
        <v>0</v>
      </c>
      <c r="E54" s="32" t="str">
        <f t="shared" si="0"/>
        <v xml:space="preserve"> </v>
      </c>
      <c r="F54" s="34" t="str">
        <f>IF(G54="open",'Instrumen Audit SPMI 2021'!$B$3," ")</f>
        <v xml:space="preserve"> </v>
      </c>
      <c r="G54" s="32">
        <f>'Instrumen Audit SPMI 2021'!H48</f>
        <v>0</v>
      </c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ht="79.5" hidden="1" customHeight="1">
      <c r="A55" s="38">
        <f>'Instrumen Audit SPMI 2021'!A49</f>
        <v>0</v>
      </c>
      <c r="B55" s="33">
        <f>'Instrumen Audit SPMI 2021'!B49</f>
        <v>0</v>
      </c>
      <c r="C55" s="33">
        <f>'Instrumen Audit SPMI 2021'!C49</f>
        <v>0</v>
      </c>
      <c r="D55" s="33">
        <f>'Instrumen Audit SPMI 2021'!F49</f>
        <v>0</v>
      </c>
      <c r="E55" s="32" t="str">
        <f t="shared" si="0"/>
        <v xml:space="preserve"> </v>
      </c>
      <c r="F55" s="34" t="str">
        <f>IF(G55="open",'Instrumen Audit SPMI 2021'!$B$3," ")</f>
        <v xml:space="preserve"> </v>
      </c>
      <c r="G55" s="32">
        <f>'Instrumen Audit SPMI 2021'!H49</f>
        <v>0</v>
      </c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ht="79.5" hidden="1" customHeight="1">
      <c r="A56" s="38">
        <f>'Instrumen Audit SPMI 2021'!A50</f>
        <v>0</v>
      </c>
      <c r="B56" s="33">
        <f>'Instrumen Audit SPMI 2021'!B50</f>
        <v>0</v>
      </c>
      <c r="C56" s="33">
        <f>'Instrumen Audit SPMI 2021'!C50</f>
        <v>0</v>
      </c>
      <c r="D56" s="33">
        <f>'Instrumen Audit SPMI 2021'!F50</f>
        <v>0</v>
      </c>
      <c r="E56" s="32" t="str">
        <f t="shared" si="0"/>
        <v xml:space="preserve"> </v>
      </c>
      <c r="F56" s="34" t="str">
        <f>IF(G56="open",'Instrumen Audit SPMI 2021'!$B$3," ")</f>
        <v xml:space="preserve"> </v>
      </c>
      <c r="G56" s="32">
        <f>'Instrumen Audit SPMI 2021'!H50</f>
        <v>0</v>
      </c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ht="79.5" hidden="1" customHeight="1">
      <c r="A57" s="38">
        <f>'Instrumen Audit SPMI 2021'!A51</f>
        <v>0</v>
      </c>
      <c r="B57" s="33">
        <f>'Instrumen Audit SPMI 2021'!B51</f>
        <v>0</v>
      </c>
      <c r="C57" s="33">
        <f>'Instrumen Audit SPMI 2021'!C51</f>
        <v>0</v>
      </c>
      <c r="D57" s="33">
        <f>'Instrumen Audit SPMI 2021'!F51</f>
        <v>0</v>
      </c>
      <c r="E57" s="32" t="str">
        <f t="shared" si="0"/>
        <v xml:space="preserve"> </v>
      </c>
      <c r="F57" s="34" t="str">
        <f>IF(G57="open",'Instrumen Audit SPMI 2021'!$B$3," ")</f>
        <v xml:space="preserve"> </v>
      </c>
      <c r="G57" s="32">
        <f>'Instrumen Audit SPMI 2021'!H51</f>
        <v>0</v>
      </c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ht="79.5" hidden="1" customHeight="1">
      <c r="A58" s="38">
        <f>'Instrumen Audit SPMI 2021'!A52</f>
        <v>0</v>
      </c>
      <c r="B58" s="33">
        <f>'Instrumen Audit SPMI 2021'!B52</f>
        <v>0</v>
      </c>
      <c r="C58" s="33">
        <f>'Instrumen Audit SPMI 2021'!C52</f>
        <v>0</v>
      </c>
      <c r="D58" s="33">
        <f>'Instrumen Audit SPMI 2021'!F52</f>
        <v>0</v>
      </c>
      <c r="E58" s="32" t="str">
        <f t="shared" si="0"/>
        <v xml:space="preserve"> </v>
      </c>
      <c r="F58" s="34" t="str">
        <f>IF(G58="open",'Instrumen Audit SPMI 2021'!$B$3," ")</f>
        <v xml:space="preserve"> </v>
      </c>
      <c r="G58" s="32">
        <f>'Instrumen Audit SPMI 2021'!H52</f>
        <v>0</v>
      </c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ht="79.5" hidden="1" customHeight="1">
      <c r="A59" s="38">
        <f>'Instrumen Audit SPMI 2021'!A53</f>
        <v>0</v>
      </c>
      <c r="B59" s="33">
        <f>'Instrumen Audit SPMI 2021'!B53</f>
        <v>0</v>
      </c>
      <c r="C59" s="33">
        <f>'Instrumen Audit SPMI 2021'!C53</f>
        <v>0</v>
      </c>
      <c r="D59" s="33">
        <f>'Instrumen Audit SPMI 2021'!F53</f>
        <v>0</v>
      </c>
      <c r="E59" s="32" t="str">
        <f t="shared" si="0"/>
        <v xml:space="preserve"> </v>
      </c>
      <c r="F59" s="34" t="str">
        <f>IF(G59="open",'Instrumen Audit SPMI 2021'!$B$3," ")</f>
        <v xml:space="preserve"> </v>
      </c>
      <c r="G59" s="32">
        <f>'Instrumen Audit SPMI 2021'!H53</f>
        <v>0</v>
      </c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ht="79.5" hidden="1" customHeight="1">
      <c r="A60" s="38">
        <f>'Instrumen Audit SPMI 2021'!A54</f>
        <v>0</v>
      </c>
      <c r="B60" s="33">
        <f>'Instrumen Audit SPMI 2021'!B54</f>
        <v>0</v>
      </c>
      <c r="C60" s="33">
        <f>'Instrumen Audit SPMI 2021'!C54</f>
        <v>0</v>
      </c>
      <c r="D60" s="33">
        <f>'Instrumen Audit SPMI 2021'!F54</f>
        <v>0</v>
      </c>
      <c r="E60" s="32" t="str">
        <f t="shared" si="0"/>
        <v xml:space="preserve"> </v>
      </c>
      <c r="F60" s="34" t="str">
        <f>IF(G60="open",'Instrumen Audit SPMI 2021'!$B$3," ")</f>
        <v xml:space="preserve"> </v>
      </c>
      <c r="G60" s="32">
        <f>'Instrumen Audit SPMI 2021'!H54</f>
        <v>0</v>
      </c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ht="79.5" hidden="1" customHeight="1">
      <c r="A61" s="38">
        <f>'Instrumen Audit SPMI 2021'!A55</f>
        <v>0</v>
      </c>
      <c r="B61" s="33">
        <f>'Instrumen Audit SPMI 2021'!B55</f>
        <v>0</v>
      </c>
      <c r="C61" s="33">
        <f>'Instrumen Audit SPMI 2021'!C55</f>
        <v>0</v>
      </c>
      <c r="D61" s="33">
        <f>'Instrumen Audit SPMI 2021'!F55</f>
        <v>0</v>
      </c>
      <c r="E61" s="32" t="str">
        <f t="shared" si="0"/>
        <v xml:space="preserve"> </v>
      </c>
      <c r="F61" s="34" t="str">
        <f>IF(G61="open",'Instrumen Audit SPMI 2021'!$B$3," ")</f>
        <v xml:space="preserve"> </v>
      </c>
      <c r="G61" s="32">
        <f>'Instrumen Audit SPMI 2021'!H55</f>
        <v>0</v>
      </c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ht="79.5" hidden="1" customHeight="1">
      <c r="A62" s="38">
        <f>'Instrumen Audit SPMI 2021'!A56</f>
        <v>0</v>
      </c>
      <c r="B62" s="33">
        <f>'Instrumen Audit SPMI 2021'!B56</f>
        <v>0</v>
      </c>
      <c r="C62" s="33">
        <f>'Instrumen Audit SPMI 2021'!C56</f>
        <v>0</v>
      </c>
      <c r="D62" s="33">
        <f>'Instrumen Audit SPMI 2021'!F56</f>
        <v>0</v>
      </c>
      <c r="E62" s="32" t="str">
        <f t="shared" si="0"/>
        <v xml:space="preserve"> </v>
      </c>
      <c r="F62" s="34" t="str">
        <f>IF(G62="open",'Instrumen Audit SPMI 2021'!$B$3," ")</f>
        <v xml:space="preserve"> </v>
      </c>
      <c r="G62" s="32">
        <f>'Instrumen Audit SPMI 2021'!H56</f>
        <v>0</v>
      </c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ht="79.5" hidden="1" customHeight="1">
      <c r="A63" s="38">
        <f>'Instrumen Audit SPMI 2021'!A57</f>
        <v>0</v>
      </c>
      <c r="B63" s="33">
        <f>'Instrumen Audit SPMI 2021'!B57</f>
        <v>0</v>
      </c>
      <c r="C63" s="33">
        <f>'Instrumen Audit SPMI 2021'!C57</f>
        <v>0</v>
      </c>
      <c r="D63" s="33">
        <f>'Instrumen Audit SPMI 2021'!F57</f>
        <v>0</v>
      </c>
      <c r="E63" s="32" t="str">
        <f t="shared" si="0"/>
        <v xml:space="preserve"> </v>
      </c>
      <c r="F63" s="34" t="str">
        <f>IF(G63="open",'Instrumen Audit SPMI 2021'!$B$3," ")</f>
        <v xml:space="preserve"> </v>
      </c>
      <c r="G63" s="32">
        <f>'Instrumen Audit SPMI 2021'!H57</f>
        <v>0</v>
      </c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ht="79.5" hidden="1" customHeight="1">
      <c r="A64" s="38">
        <f>'Instrumen Audit SPMI 2021'!A58</f>
        <v>0</v>
      </c>
      <c r="B64" s="33">
        <f>'Instrumen Audit SPMI 2021'!B58</f>
        <v>0</v>
      </c>
      <c r="C64" s="33">
        <f>'Instrumen Audit SPMI 2021'!C58</f>
        <v>0</v>
      </c>
      <c r="D64" s="33">
        <f>'Instrumen Audit SPMI 2021'!F58</f>
        <v>0</v>
      </c>
      <c r="E64" s="32" t="str">
        <f t="shared" si="0"/>
        <v xml:space="preserve"> </v>
      </c>
      <c r="F64" s="34" t="str">
        <f>IF(G64="open",'Instrumen Audit SPMI 2021'!$B$3," ")</f>
        <v xml:space="preserve"> </v>
      </c>
      <c r="G64" s="32">
        <f>'Instrumen Audit SPMI 2021'!H58</f>
        <v>0</v>
      </c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ht="79.5" hidden="1" customHeight="1">
      <c r="A65" s="38">
        <f>'Instrumen Audit SPMI 2021'!A59</f>
        <v>0</v>
      </c>
      <c r="B65" s="33">
        <f>'Instrumen Audit SPMI 2021'!B59</f>
        <v>0</v>
      </c>
      <c r="C65" s="33">
        <f>'Instrumen Audit SPMI 2021'!C59</f>
        <v>0</v>
      </c>
      <c r="D65" s="33">
        <f>'Instrumen Audit SPMI 2021'!F59</f>
        <v>0</v>
      </c>
      <c r="E65" s="32" t="str">
        <f t="shared" si="0"/>
        <v xml:space="preserve"> </v>
      </c>
      <c r="F65" s="34" t="str">
        <f>IF(G65="open",'Instrumen Audit SPMI 2021'!$B$3," ")</f>
        <v xml:space="preserve"> </v>
      </c>
      <c r="G65" s="32">
        <f>'Instrumen Audit SPMI 2021'!H59</f>
        <v>0</v>
      </c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ht="79.5" hidden="1" customHeight="1">
      <c r="A66" s="38">
        <f>'Instrumen Audit SPMI 2021'!A60</f>
        <v>0</v>
      </c>
      <c r="B66" s="33">
        <f>'Instrumen Audit SPMI 2021'!B60</f>
        <v>0</v>
      </c>
      <c r="C66" s="33">
        <f>'Instrumen Audit SPMI 2021'!C60</f>
        <v>0</v>
      </c>
      <c r="D66" s="33">
        <f>'Instrumen Audit SPMI 2021'!F60</f>
        <v>0</v>
      </c>
      <c r="E66" s="32" t="str">
        <f t="shared" si="0"/>
        <v xml:space="preserve"> </v>
      </c>
      <c r="F66" s="34" t="str">
        <f>IF(G66="open",'Instrumen Audit SPMI 2021'!$B$3," ")</f>
        <v xml:space="preserve"> </v>
      </c>
      <c r="G66" s="32">
        <f>'Instrumen Audit SPMI 2021'!H60</f>
        <v>0</v>
      </c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ht="79.5" hidden="1" customHeight="1">
      <c r="A67" s="38">
        <f>'Instrumen Audit SPMI 2021'!A61</f>
        <v>0</v>
      </c>
      <c r="B67" s="33">
        <f>'Instrumen Audit SPMI 2021'!B61</f>
        <v>0</v>
      </c>
      <c r="C67" s="33">
        <f>'Instrumen Audit SPMI 2021'!C61</f>
        <v>0</v>
      </c>
      <c r="D67" s="33">
        <f>'Instrumen Audit SPMI 2021'!F61</f>
        <v>0</v>
      </c>
      <c r="E67" s="32" t="str">
        <f t="shared" si="0"/>
        <v xml:space="preserve"> </v>
      </c>
      <c r="F67" s="34" t="str">
        <f>IF(G67="open",'Instrumen Audit SPMI 2021'!$B$3," ")</f>
        <v xml:space="preserve"> </v>
      </c>
      <c r="G67" s="32">
        <f>'Instrumen Audit SPMI 2021'!H61</f>
        <v>0</v>
      </c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ht="79.5" hidden="1" customHeight="1">
      <c r="A68" s="38">
        <f>'Instrumen Audit SPMI 2021'!A62</f>
        <v>0</v>
      </c>
      <c r="B68" s="33">
        <f>'Instrumen Audit SPMI 2021'!B62</f>
        <v>0</v>
      </c>
      <c r="C68" s="33">
        <f>'Instrumen Audit SPMI 2021'!C62</f>
        <v>0</v>
      </c>
      <c r="D68" s="33">
        <f>'Instrumen Audit SPMI 2021'!F62</f>
        <v>0</v>
      </c>
      <c r="E68" s="32" t="str">
        <f t="shared" si="0"/>
        <v xml:space="preserve"> </v>
      </c>
      <c r="F68" s="34" t="str">
        <f>IF(G68="open",'Instrumen Audit SPMI 2021'!$B$3," ")</f>
        <v xml:space="preserve"> </v>
      </c>
      <c r="G68" s="32">
        <f>'Instrumen Audit SPMI 2021'!H62</f>
        <v>0</v>
      </c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ht="79.5" hidden="1" customHeight="1">
      <c r="A69" s="38">
        <f>'Instrumen Audit SPMI 2021'!A63</f>
        <v>0</v>
      </c>
      <c r="B69" s="33">
        <f>'Instrumen Audit SPMI 2021'!B63</f>
        <v>0</v>
      </c>
      <c r="C69" s="33">
        <f>'Instrumen Audit SPMI 2021'!C63</f>
        <v>0</v>
      </c>
      <c r="D69" s="33">
        <f>'Instrumen Audit SPMI 2021'!F63</f>
        <v>0</v>
      </c>
      <c r="E69" s="32" t="str">
        <f t="shared" si="0"/>
        <v xml:space="preserve"> </v>
      </c>
      <c r="F69" s="34" t="str">
        <f>IF(G69="open",'Instrumen Audit SPMI 2021'!$B$3," ")</f>
        <v xml:space="preserve"> </v>
      </c>
      <c r="G69" s="32">
        <f>'Instrumen Audit SPMI 2021'!H63</f>
        <v>0</v>
      </c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ht="79.5" hidden="1" customHeight="1">
      <c r="A70" s="38">
        <f>'Instrumen Audit SPMI 2021'!A64</f>
        <v>0</v>
      </c>
      <c r="B70" s="33">
        <f>'Instrumen Audit SPMI 2021'!B64</f>
        <v>0</v>
      </c>
      <c r="C70" s="33">
        <f>'Instrumen Audit SPMI 2021'!C64</f>
        <v>0</v>
      </c>
      <c r="D70" s="33">
        <f>'Instrumen Audit SPMI 2021'!F64</f>
        <v>0</v>
      </c>
      <c r="E70" s="32" t="str">
        <f t="shared" si="0"/>
        <v xml:space="preserve"> </v>
      </c>
      <c r="F70" s="34" t="str">
        <f>IF(G70="open",'Instrumen Audit SPMI 2021'!$B$3," ")</f>
        <v xml:space="preserve"> </v>
      </c>
      <c r="G70" s="32">
        <f>'Instrumen Audit SPMI 2021'!H64</f>
        <v>0</v>
      </c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ht="79.5" hidden="1" customHeight="1">
      <c r="A71" s="38">
        <f>'Instrumen Audit SPMI 2021'!A65</f>
        <v>0</v>
      </c>
      <c r="B71" s="33">
        <f>'Instrumen Audit SPMI 2021'!B65</f>
        <v>0</v>
      </c>
      <c r="C71" s="33">
        <f>'Instrumen Audit SPMI 2021'!C65</f>
        <v>0</v>
      </c>
      <c r="D71" s="33">
        <f>'Instrumen Audit SPMI 2021'!F65</f>
        <v>0</v>
      </c>
      <c r="E71" s="32" t="str">
        <f t="shared" si="0"/>
        <v xml:space="preserve"> </v>
      </c>
      <c r="F71" s="34" t="str">
        <f>IF(G71="open",'Instrumen Audit SPMI 2021'!$B$3," ")</f>
        <v xml:space="preserve"> </v>
      </c>
      <c r="G71" s="32">
        <f>'Instrumen Audit SPMI 2021'!H65</f>
        <v>0</v>
      </c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ht="79.5" hidden="1" customHeight="1">
      <c r="A72" s="38">
        <f>'Instrumen Audit SPMI 2021'!A66</f>
        <v>0</v>
      </c>
      <c r="B72" s="33">
        <f>'Instrumen Audit SPMI 2021'!B66</f>
        <v>0</v>
      </c>
      <c r="C72" s="33">
        <f>'Instrumen Audit SPMI 2021'!C66</f>
        <v>0</v>
      </c>
      <c r="D72" s="33">
        <f>'Instrumen Audit SPMI 2021'!F66</f>
        <v>0</v>
      </c>
      <c r="E72" s="32" t="str">
        <f t="shared" si="0"/>
        <v xml:space="preserve"> </v>
      </c>
      <c r="F72" s="34" t="str">
        <f>IF(G72="open",'Instrumen Audit SPMI 2021'!$B$3," ")</f>
        <v xml:space="preserve"> </v>
      </c>
      <c r="G72" s="32">
        <f>'Instrumen Audit SPMI 2021'!H66</f>
        <v>0</v>
      </c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ht="79.5" hidden="1" customHeight="1">
      <c r="A73" s="38">
        <f>'Instrumen Audit SPMI 2021'!A67</f>
        <v>0</v>
      </c>
      <c r="B73" s="33">
        <f>'Instrumen Audit SPMI 2021'!B67</f>
        <v>0</v>
      </c>
      <c r="C73" s="33">
        <f>'Instrumen Audit SPMI 2021'!C67</f>
        <v>0</v>
      </c>
      <c r="D73" s="33">
        <f>'Instrumen Audit SPMI 2021'!F67</f>
        <v>0</v>
      </c>
      <c r="E73" s="32" t="str">
        <f t="shared" si="0"/>
        <v xml:space="preserve"> </v>
      </c>
      <c r="F73" s="34" t="str">
        <f>IF(G73="open",'Instrumen Audit SPMI 2021'!$B$3," ")</f>
        <v xml:space="preserve"> </v>
      </c>
      <c r="G73" s="32">
        <f>'Instrumen Audit SPMI 2021'!H67</f>
        <v>0</v>
      </c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ht="79.5" hidden="1" customHeight="1">
      <c r="A74" s="38">
        <f>'Instrumen Audit SPMI 2021'!A68</f>
        <v>0</v>
      </c>
      <c r="B74" s="33">
        <f>'Instrumen Audit SPMI 2021'!B68</f>
        <v>0</v>
      </c>
      <c r="C74" s="33">
        <f>'Instrumen Audit SPMI 2021'!C68</f>
        <v>0</v>
      </c>
      <c r="D74" s="33">
        <f>'Instrumen Audit SPMI 2021'!F68</f>
        <v>0</v>
      </c>
      <c r="E74" s="32" t="str">
        <f t="shared" si="0"/>
        <v xml:space="preserve"> </v>
      </c>
      <c r="F74" s="34" t="str">
        <f>IF(G74="open",'Instrumen Audit SPMI 2021'!$B$3," ")</f>
        <v xml:space="preserve"> </v>
      </c>
      <c r="G74" s="32">
        <f>'Instrumen Audit SPMI 2021'!H68</f>
        <v>0</v>
      </c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ht="79.5" hidden="1" customHeight="1">
      <c r="A75" s="38">
        <f>'Instrumen Audit SPMI 2021'!A69</f>
        <v>0</v>
      </c>
      <c r="B75" s="33">
        <f>'Instrumen Audit SPMI 2021'!B69</f>
        <v>0</v>
      </c>
      <c r="C75" s="33">
        <f>'Instrumen Audit SPMI 2021'!C69</f>
        <v>0</v>
      </c>
      <c r="D75" s="33">
        <f>'Instrumen Audit SPMI 2021'!F69</f>
        <v>0</v>
      </c>
      <c r="E75" s="32" t="str">
        <f t="shared" si="0"/>
        <v xml:space="preserve"> </v>
      </c>
      <c r="F75" s="34" t="str">
        <f>IF(G75="open",'Instrumen Audit SPMI 2021'!$B$3," ")</f>
        <v xml:space="preserve"> </v>
      </c>
      <c r="G75" s="32">
        <f>'Instrumen Audit SPMI 2021'!H69</f>
        <v>0</v>
      </c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ht="79.5" hidden="1" customHeight="1">
      <c r="A76" s="38">
        <f>'Instrumen Audit SPMI 2021'!A70</f>
        <v>0</v>
      </c>
      <c r="B76" s="33">
        <f>'Instrumen Audit SPMI 2021'!B70</f>
        <v>0</v>
      </c>
      <c r="C76" s="33">
        <f>'Instrumen Audit SPMI 2021'!C70</f>
        <v>0</v>
      </c>
      <c r="D76" s="33">
        <f>'Instrumen Audit SPMI 2021'!F70</f>
        <v>0</v>
      </c>
      <c r="E76" s="32" t="str">
        <f t="shared" si="0"/>
        <v xml:space="preserve"> </v>
      </c>
      <c r="F76" s="34" t="str">
        <f>IF(G76="open",'Instrumen Audit SPMI 2021'!$B$3," ")</f>
        <v xml:space="preserve"> </v>
      </c>
      <c r="G76" s="32">
        <f>'Instrumen Audit SPMI 2021'!H70</f>
        <v>0</v>
      </c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ht="79.5" hidden="1" customHeight="1">
      <c r="A77" s="38">
        <f>'Instrumen Audit SPMI 2021'!A71</f>
        <v>0</v>
      </c>
      <c r="B77" s="33">
        <f>'Instrumen Audit SPMI 2021'!B71</f>
        <v>0</v>
      </c>
      <c r="C77" s="33">
        <f>'Instrumen Audit SPMI 2021'!C71</f>
        <v>0</v>
      </c>
      <c r="D77" s="33">
        <f>'Instrumen Audit SPMI 2021'!F71</f>
        <v>0</v>
      </c>
      <c r="E77" s="32" t="str">
        <f t="shared" si="0"/>
        <v xml:space="preserve"> </v>
      </c>
      <c r="F77" s="34" t="str">
        <f>IF(G77="open",'Instrumen Audit SPMI 2021'!$B$3," ")</f>
        <v xml:space="preserve"> </v>
      </c>
      <c r="G77" s="32">
        <f>'Instrumen Audit SPMI 2021'!H71</f>
        <v>0</v>
      </c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ht="79.5" hidden="1" customHeight="1">
      <c r="A78" s="38">
        <f>'Instrumen Audit SPMI 2021'!A72</f>
        <v>0</v>
      </c>
      <c r="B78" s="33">
        <f>'Instrumen Audit SPMI 2021'!B72</f>
        <v>0</v>
      </c>
      <c r="C78" s="33">
        <f>'Instrumen Audit SPMI 2021'!C72</f>
        <v>0</v>
      </c>
      <c r="D78" s="33">
        <f>'Instrumen Audit SPMI 2021'!F72</f>
        <v>0</v>
      </c>
      <c r="E78" s="32" t="str">
        <f t="shared" si="0"/>
        <v xml:space="preserve"> </v>
      </c>
      <c r="F78" s="34" t="str">
        <f>IF(G78="open",'Instrumen Audit SPMI 2021'!$B$3," ")</f>
        <v xml:space="preserve"> </v>
      </c>
      <c r="G78" s="32">
        <f>'Instrumen Audit SPMI 2021'!H72</f>
        <v>0</v>
      </c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ht="79.5" hidden="1" customHeight="1">
      <c r="A79" s="38">
        <f>'Instrumen Audit SPMI 2021'!A73</f>
        <v>0</v>
      </c>
      <c r="B79" s="33">
        <f>'Instrumen Audit SPMI 2021'!B73</f>
        <v>0</v>
      </c>
      <c r="C79" s="33">
        <f>'Instrumen Audit SPMI 2021'!C73</f>
        <v>0</v>
      </c>
      <c r="D79" s="33">
        <f>'Instrumen Audit SPMI 2021'!F73</f>
        <v>0</v>
      </c>
      <c r="E79" s="32" t="str">
        <f t="shared" si="0"/>
        <v xml:space="preserve"> </v>
      </c>
      <c r="F79" s="34" t="str">
        <f>IF(G79="open",'Instrumen Audit SPMI 2021'!$B$3," ")</f>
        <v xml:space="preserve"> </v>
      </c>
      <c r="G79" s="32">
        <f>'Instrumen Audit SPMI 2021'!H73</f>
        <v>0</v>
      </c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ht="79.5" hidden="1" customHeight="1">
      <c r="A80" s="38">
        <f>'Instrumen Audit SPMI 2021'!A74</f>
        <v>0</v>
      </c>
      <c r="B80" s="33">
        <f>'Instrumen Audit SPMI 2021'!B74</f>
        <v>0</v>
      </c>
      <c r="C80" s="33">
        <f>'Instrumen Audit SPMI 2021'!C74</f>
        <v>0</v>
      </c>
      <c r="D80" s="33">
        <f>'Instrumen Audit SPMI 2021'!F74</f>
        <v>0</v>
      </c>
      <c r="E80" s="32" t="str">
        <f t="shared" si="0"/>
        <v xml:space="preserve"> </v>
      </c>
      <c r="F80" s="34" t="str">
        <f>IF(G80="open",'Instrumen Audit SPMI 2021'!$B$3," ")</f>
        <v xml:space="preserve"> </v>
      </c>
      <c r="G80" s="32">
        <f>'Instrumen Audit SPMI 2021'!H74</f>
        <v>0</v>
      </c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ht="79.5" hidden="1" customHeight="1">
      <c r="A81" s="38">
        <f>'Instrumen Audit SPMI 2021'!A75</f>
        <v>0</v>
      </c>
      <c r="B81" s="33">
        <f>'Instrumen Audit SPMI 2021'!B75</f>
        <v>0</v>
      </c>
      <c r="C81" s="33">
        <f>'Instrumen Audit SPMI 2021'!C75</f>
        <v>0</v>
      </c>
      <c r="D81" s="33">
        <f>'Instrumen Audit SPMI 2021'!F75</f>
        <v>0</v>
      </c>
      <c r="E81" s="32" t="str">
        <f t="shared" si="0"/>
        <v xml:space="preserve"> </v>
      </c>
      <c r="F81" s="34" t="str">
        <f>IF(G81="open",'Instrumen Audit SPMI 2021'!$B$3," ")</f>
        <v xml:space="preserve"> </v>
      </c>
      <c r="G81" s="32">
        <f>'Instrumen Audit SPMI 2021'!H75</f>
        <v>0</v>
      </c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ht="79.5" hidden="1" customHeight="1">
      <c r="A82" s="38">
        <f>'Instrumen Audit SPMI 2021'!A76</f>
        <v>0</v>
      </c>
      <c r="B82" s="33">
        <f>'Instrumen Audit SPMI 2021'!B76</f>
        <v>0</v>
      </c>
      <c r="C82" s="33">
        <f>'Instrumen Audit SPMI 2021'!C76</f>
        <v>0</v>
      </c>
      <c r="D82" s="33">
        <f>'Instrumen Audit SPMI 2021'!F76</f>
        <v>0</v>
      </c>
      <c r="E82" s="32" t="str">
        <f t="shared" si="0"/>
        <v xml:space="preserve"> </v>
      </c>
      <c r="F82" s="34" t="str">
        <f>IF(G82="open",'Instrumen Audit SPMI 2021'!$B$3," ")</f>
        <v xml:space="preserve"> </v>
      </c>
      <c r="G82" s="32">
        <f>'Instrumen Audit SPMI 2021'!H76</f>
        <v>0</v>
      </c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ht="79.5" hidden="1" customHeight="1">
      <c r="A83" s="38">
        <f>'Instrumen Audit SPMI 2021'!A77</f>
        <v>0</v>
      </c>
      <c r="B83" s="33">
        <f>'Instrumen Audit SPMI 2021'!B77</f>
        <v>0</v>
      </c>
      <c r="C83" s="33">
        <f>'Instrumen Audit SPMI 2021'!C77</f>
        <v>0</v>
      </c>
      <c r="D83" s="33">
        <f>'Instrumen Audit SPMI 2021'!F77</f>
        <v>0</v>
      </c>
      <c r="E83" s="32" t="str">
        <f t="shared" si="0"/>
        <v xml:space="preserve"> </v>
      </c>
      <c r="F83" s="34" t="str">
        <f>IF(G83="open",'Instrumen Audit SPMI 2021'!$B$3," ")</f>
        <v xml:space="preserve"> </v>
      </c>
      <c r="G83" s="32">
        <f>'Instrumen Audit SPMI 2021'!H77</f>
        <v>0</v>
      </c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ht="79.5" hidden="1" customHeight="1">
      <c r="A84" s="38">
        <f>'Instrumen Audit SPMI 2021'!A78</f>
        <v>0</v>
      </c>
      <c r="B84" s="33">
        <f>'Instrumen Audit SPMI 2021'!B78</f>
        <v>0</v>
      </c>
      <c r="C84" s="33">
        <f>'Instrumen Audit SPMI 2021'!C78</f>
        <v>0</v>
      </c>
      <c r="D84" s="33">
        <f>'Instrumen Audit SPMI 2021'!F78</f>
        <v>0</v>
      </c>
      <c r="E84" s="32" t="str">
        <f t="shared" si="0"/>
        <v xml:space="preserve"> </v>
      </c>
      <c r="F84" s="34" t="str">
        <f>IF(G84="open",'Instrumen Audit SPMI 2021'!$B$3," ")</f>
        <v xml:space="preserve"> </v>
      </c>
      <c r="G84" s="32">
        <f>'Instrumen Audit SPMI 2021'!H78</f>
        <v>0</v>
      </c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ht="79.5" hidden="1" customHeight="1">
      <c r="A85" s="38">
        <f>'Instrumen Audit SPMI 2021'!A79</f>
        <v>0</v>
      </c>
      <c r="B85" s="33">
        <f>'Instrumen Audit SPMI 2021'!B79</f>
        <v>0</v>
      </c>
      <c r="C85" s="33">
        <f>'Instrumen Audit SPMI 2021'!C79</f>
        <v>0</v>
      </c>
      <c r="D85" s="33">
        <f>'Instrumen Audit SPMI 2021'!F79</f>
        <v>0</v>
      </c>
      <c r="E85" s="32" t="str">
        <f t="shared" si="0"/>
        <v xml:space="preserve"> </v>
      </c>
      <c r="F85" s="34" t="str">
        <f>IF(G85="open",'Instrumen Audit SPMI 2021'!$B$3," ")</f>
        <v xml:space="preserve"> </v>
      </c>
      <c r="G85" s="32">
        <f>'Instrumen Audit SPMI 2021'!H79</f>
        <v>0</v>
      </c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ht="79.5" hidden="1" customHeight="1">
      <c r="A86" s="38">
        <f>'Instrumen Audit SPMI 2021'!A80</f>
        <v>0</v>
      </c>
      <c r="B86" s="33">
        <f>'Instrumen Audit SPMI 2021'!B80</f>
        <v>0</v>
      </c>
      <c r="C86" s="33">
        <f>'Instrumen Audit SPMI 2021'!C80</f>
        <v>0</v>
      </c>
      <c r="D86" s="33">
        <f>'Instrumen Audit SPMI 2021'!F80</f>
        <v>0</v>
      </c>
      <c r="E86" s="32" t="str">
        <f t="shared" si="0"/>
        <v xml:space="preserve"> </v>
      </c>
      <c r="F86" s="34" t="str">
        <f>IF(G86="open",'Instrumen Audit SPMI 2021'!$B$3," ")</f>
        <v xml:space="preserve"> </v>
      </c>
      <c r="G86" s="32">
        <f>'Instrumen Audit SPMI 2021'!H80</f>
        <v>0</v>
      </c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ht="79.5" hidden="1" customHeight="1">
      <c r="A87" s="38">
        <f>'Instrumen Audit SPMI 2021'!A81</f>
        <v>0</v>
      </c>
      <c r="B87" s="33">
        <f>'Instrumen Audit SPMI 2021'!B81</f>
        <v>0</v>
      </c>
      <c r="C87" s="33">
        <f>'Instrumen Audit SPMI 2021'!C81</f>
        <v>0</v>
      </c>
      <c r="D87" s="33">
        <f>'Instrumen Audit SPMI 2021'!F81</f>
        <v>0</v>
      </c>
      <c r="E87" s="32" t="str">
        <f t="shared" si="0"/>
        <v xml:space="preserve"> </v>
      </c>
      <c r="F87" s="34" t="str">
        <f>IF(G87="open",'Instrumen Audit SPMI 2021'!$B$3," ")</f>
        <v xml:space="preserve"> </v>
      </c>
      <c r="G87" s="32">
        <f>'Instrumen Audit SPMI 2021'!H81</f>
        <v>0</v>
      </c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ht="79.5" hidden="1" customHeight="1">
      <c r="A88" s="38">
        <f>'Instrumen Audit SPMI 2021'!A82</f>
        <v>0</v>
      </c>
      <c r="B88" s="33">
        <f>'Instrumen Audit SPMI 2021'!B82</f>
        <v>0</v>
      </c>
      <c r="C88" s="33">
        <f>'Instrumen Audit SPMI 2021'!C82</f>
        <v>0</v>
      </c>
      <c r="D88" s="33">
        <f>'Instrumen Audit SPMI 2021'!F82</f>
        <v>0</v>
      </c>
      <c r="E88" s="32" t="str">
        <f t="shared" si="0"/>
        <v xml:space="preserve"> </v>
      </c>
      <c r="F88" s="34" t="str">
        <f>IF(G88="open",'Instrumen Audit SPMI 2021'!$B$3," ")</f>
        <v xml:space="preserve"> </v>
      </c>
      <c r="G88" s="32">
        <f>'Instrumen Audit SPMI 2021'!H82</f>
        <v>0</v>
      </c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ht="79.5" hidden="1" customHeight="1">
      <c r="A89" s="38">
        <f>'Instrumen Audit SPMI 2021'!A83</f>
        <v>0</v>
      </c>
      <c r="B89" s="33">
        <f>'Instrumen Audit SPMI 2021'!B83</f>
        <v>0</v>
      </c>
      <c r="C89" s="33">
        <f>'Instrumen Audit SPMI 2021'!C83</f>
        <v>0</v>
      </c>
      <c r="D89" s="33">
        <f>'Instrumen Audit SPMI 2021'!F83</f>
        <v>0</v>
      </c>
      <c r="E89" s="32" t="str">
        <f t="shared" si="0"/>
        <v xml:space="preserve"> </v>
      </c>
      <c r="F89" s="34" t="str">
        <f>IF(G89="open",'Instrumen Audit SPMI 2021'!$B$3," ")</f>
        <v xml:space="preserve"> </v>
      </c>
      <c r="G89" s="32">
        <f>'Instrumen Audit SPMI 2021'!H83</f>
        <v>0</v>
      </c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ht="79.5" hidden="1" customHeight="1">
      <c r="A90" s="38">
        <f>'Instrumen Audit SPMI 2021'!A84</f>
        <v>0</v>
      </c>
      <c r="B90" s="33">
        <f>'Instrumen Audit SPMI 2021'!B84</f>
        <v>0</v>
      </c>
      <c r="C90" s="33">
        <f>'Instrumen Audit SPMI 2021'!C84</f>
        <v>0</v>
      </c>
      <c r="D90" s="33">
        <f>'Instrumen Audit SPMI 2021'!F84</f>
        <v>0</v>
      </c>
      <c r="E90" s="32" t="str">
        <f t="shared" si="0"/>
        <v xml:space="preserve"> </v>
      </c>
      <c r="F90" s="34" t="str">
        <f>IF(G90="open",'Instrumen Audit SPMI 2021'!$B$3," ")</f>
        <v xml:space="preserve"> </v>
      </c>
      <c r="G90" s="32">
        <f>'Instrumen Audit SPMI 2021'!H84</f>
        <v>0</v>
      </c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ht="79.5" hidden="1" customHeight="1">
      <c r="A91" s="38">
        <f>'Instrumen Audit SPMI 2021'!A85</f>
        <v>0</v>
      </c>
      <c r="B91" s="33">
        <f>'Instrumen Audit SPMI 2021'!B85</f>
        <v>0</v>
      </c>
      <c r="C91" s="33">
        <f>'Instrumen Audit SPMI 2021'!C85</f>
        <v>0</v>
      </c>
      <c r="D91" s="33">
        <f>'Instrumen Audit SPMI 2021'!F85</f>
        <v>0</v>
      </c>
      <c r="E91" s="32" t="str">
        <f t="shared" si="0"/>
        <v xml:space="preserve"> </v>
      </c>
      <c r="F91" s="34" t="str">
        <f>IF(G91="open",'Instrumen Audit SPMI 2021'!$B$3," ")</f>
        <v xml:space="preserve"> </v>
      </c>
      <c r="G91" s="32">
        <f>'Instrumen Audit SPMI 2021'!H85</f>
        <v>0</v>
      </c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ht="79.5" hidden="1" customHeight="1">
      <c r="A92" s="38">
        <f>'Instrumen Audit SPMI 2021'!A86</f>
        <v>0</v>
      </c>
      <c r="B92" s="33">
        <f>'Instrumen Audit SPMI 2021'!B86</f>
        <v>0</v>
      </c>
      <c r="C92" s="33">
        <f>'Instrumen Audit SPMI 2021'!C86</f>
        <v>0</v>
      </c>
      <c r="D92" s="33">
        <f>'Instrumen Audit SPMI 2021'!F86</f>
        <v>0</v>
      </c>
      <c r="E92" s="32" t="str">
        <f t="shared" si="0"/>
        <v xml:space="preserve"> </v>
      </c>
      <c r="F92" s="34" t="str">
        <f>IF(G92="open",'Instrumen Audit SPMI 2021'!$B$3," ")</f>
        <v xml:space="preserve"> </v>
      </c>
      <c r="G92" s="32">
        <f>'Instrumen Audit SPMI 2021'!H86</f>
        <v>0</v>
      </c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ht="79.5" hidden="1" customHeight="1">
      <c r="A93" s="38">
        <f>'Instrumen Audit SPMI 2021'!A87</f>
        <v>0</v>
      </c>
      <c r="B93" s="33">
        <f>'Instrumen Audit SPMI 2021'!B87</f>
        <v>0</v>
      </c>
      <c r="C93" s="33">
        <f>'Instrumen Audit SPMI 2021'!C87</f>
        <v>0</v>
      </c>
      <c r="D93" s="33">
        <f>'Instrumen Audit SPMI 2021'!F87</f>
        <v>0</v>
      </c>
      <c r="E93" s="32" t="str">
        <f t="shared" si="0"/>
        <v xml:space="preserve"> </v>
      </c>
      <c r="F93" s="34" t="str">
        <f>IF(G93="open",'Instrumen Audit SPMI 2021'!$B$3," ")</f>
        <v xml:space="preserve"> </v>
      </c>
      <c r="G93" s="32">
        <f>'Instrumen Audit SPMI 2021'!H87</f>
        <v>0</v>
      </c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ht="79.5" hidden="1" customHeight="1">
      <c r="A94" s="38">
        <f>'Instrumen Audit SPMI 2021'!A88</f>
        <v>0</v>
      </c>
      <c r="B94" s="33">
        <f>'Instrumen Audit SPMI 2021'!B88</f>
        <v>0</v>
      </c>
      <c r="C94" s="33">
        <f>'Instrumen Audit SPMI 2021'!C88</f>
        <v>0</v>
      </c>
      <c r="D94" s="33">
        <f>'Instrumen Audit SPMI 2021'!F88</f>
        <v>0</v>
      </c>
      <c r="E94" s="32" t="str">
        <f t="shared" si="0"/>
        <v xml:space="preserve"> </v>
      </c>
      <c r="F94" s="34" t="str">
        <f>IF(G94="open",'Instrumen Audit SPMI 2021'!$B$3," ")</f>
        <v xml:space="preserve"> </v>
      </c>
      <c r="G94" s="32">
        <f>'Instrumen Audit SPMI 2021'!H88</f>
        <v>0</v>
      </c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ht="79.5" hidden="1" customHeight="1">
      <c r="A95" s="38">
        <f>'Instrumen Audit SPMI 2021'!A89</f>
        <v>0</v>
      </c>
      <c r="B95" s="33">
        <f>'Instrumen Audit SPMI 2021'!B89</f>
        <v>0</v>
      </c>
      <c r="C95" s="33">
        <f>'Instrumen Audit SPMI 2021'!C89</f>
        <v>0</v>
      </c>
      <c r="D95" s="33">
        <f>'Instrumen Audit SPMI 2021'!F89</f>
        <v>0</v>
      </c>
      <c r="E95" s="32" t="str">
        <f t="shared" si="0"/>
        <v xml:space="preserve"> </v>
      </c>
      <c r="F95" s="34" t="str">
        <f>IF(G95="open",'Instrumen Audit SPMI 2021'!$B$3," ")</f>
        <v xml:space="preserve"> </v>
      </c>
      <c r="G95" s="32">
        <f>'Instrumen Audit SPMI 2021'!H89</f>
        <v>0</v>
      </c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ht="79.5" hidden="1" customHeight="1">
      <c r="A96" s="38">
        <f>'Instrumen Audit SPMI 2021'!A90</f>
        <v>0</v>
      </c>
      <c r="B96" s="33">
        <f>'Instrumen Audit SPMI 2021'!B90</f>
        <v>0</v>
      </c>
      <c r="C96" s="33">
        <f>'Instrumen Audit SPMI 2021'!C90</f>
        <v>0</v>
      </c>
      <c r="D96" s="33">
        <f>'Instrumen Audit SPMI 2021'!F90</f>
        <v>0</v>
      </c>
      <c r="E96" s="32" t="str">
        <f t="shared" si="0"/>
        <v xml:space="preserve"> </v>
      </c>
      <c r="F96" s="34" t="str">
        <f>IF(G96="open",'Instrumen Audit SPMI 2021'!$B$3," ")</f>
        <v xml:space="preserve"> </v>
      </c>
      <c r="G96" s="32">
        <f>'Instrumen Audit SPMI 2021'!H90</f>
        <v>0</v>
      </c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ht="79.5" hidden="1" customHeight="1">
      <c r="A97" s="38">
        <f>'Instrumen Audit SPMI 2021'!A91</f>
        <v>0</v>
      </c>
      <c r="B97" s="33">
        <f>'Instrumen Audit SPMI 2021'!B91</f>
        <v>0</v>
      </c>
      <c r="C97" s="33">
        <f>'Instrumen Audit SPMI 2021'!C91</f>
        <v>0</v>
      </c>
      <c r="D97" s="33">
        <f>'Instrumen Audit SPMI 2021'!F91</f>
        <v>0</v>
      </c>
      <c r="E97" s="32" t="str">
        <f t="shared" si="0"/>
        <v xml:space="preserve"> </v>
      </c>
      <c r="F97" s="34" t="str">
        <f>IF(G97="open",'Instrumen Audit SPMI 2021'!$B$3," ")</f>
        <v xml:space="preserve"> </v>
      </c>
      <c r="G97" s="32">
        <f>'Instrumen Audit SPMI 2021'!H91</f>
        <v>0</v>
      </c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ht="79.5" hidden="1" customHeight="1">
      <c r="A98" s="38">
        <f>'Instrumen Audit SPMI 2021'!A92</f>
        <v>0</v>
      </c>
      <c r="B98" s="33">
        <f>'Instrumen Audit SPMI 2021'!B92</f>
        <v>0</v>
      </c>
      <c r="C98" s="33">
        <f>'Instrumen Audit SPMI 2021'!C92</f>
        <v>0</v>
      </c>
      <c r="D98" s="33">
        <f>'Instrumen Audit SPMI 2021'!F92</f>
        <v>0</v>
      </c>
      <c r="E98" s="32" t="str">
        <f t="shared" si="0"/>
        <v xml:space="preserve"> </v>
      </c>
      <c r="F98" s="34" t="str">
        <f>IF(G98="open",'Instrumen Audit SPMI 2021'!$B$3," ")</f>
        <v xml:space="preserve"> </v>
      </c>
      <c r="G98" s="32">
        <f>'Instrumen Audit SPMI 2021'!H92</f>
        <v>0</v>
      </c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ht="79.5" hidden="1" customHeight="1">
      <c r="A99" s="38">
        <f>'Instrumen Audit SPMI 2021'!A93</f>
        <v>0</v>
      </c>
      <c r="B99" s="33">
        <f>'Instrumen Audit SPMI 2021'!B93</f>
        <v>0</v>
      </c>
      <c r="C99" s="33">
        <f>'Instrumen Audit SPMI 2021'!C93</f>
        <v>0</v>
      </c>
      <c r="D99" s="33">
        <f>'Instrumen Audit SPMI 2021'!F93</f>
        <v>0</v>
      </c>
      <c r="E99" s="32" t="str">
        <f t="shared" si="0"/>
        <v xml:space="preserve"> </v>
      </c>
      <c r="F99" s="34" t="str">
        <f>IF(G99="open",'Instrumen Audit SPMI 2021'!$B$3," ")</f>
        <v xml:space="preserve"> </v>
      </c>
      <c r="G99" s="32">
        <f>'Instrumen Audit SPMI 2021'!H93</f>
        <v>0</v>
      </c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ht="79.5" hidden="1" customHeight="1">
      <c r="A100" s="38">
        <f>'Instrumen Audit SPMI 2021'!A94</f>
        <v>0</v>
      </c>
      <c r="B100" s="33">
        <f>'Instrumen Audit SPMI 2021'!B94</f>
        <v>0</v>
      </c>
      <c r="C100" s="33">
        <f>'Instrumen Audit SPMI 2021'!C94</f>
        <v>0</v>
      </c>
      <c r="D100" s="33">
        <f>'Instrumen Audit SPMI 2021'!F94</f>
        <v>0</v>
      </c>
      <c r="E100" s="32" t="str">
        <f t="shared" si="0"/>
        <v xml:space="preserve"> </v>
      </c>
      <c r="F100" s="34" t="str">
        <f>IF(G100="open",'Instrumen Audit SPMI 2021'!$B$3," ")</f>
        <v xml:space="preserve"> </v>
      </c>
      <c r="G100" s="32">
        <f>'Instrumen Audit SPMI 2021'!H94</f>
        <v>0</v>
      </c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spans="1:26" ht="79.5" hidden="1" customHeight="1">
      <c r="A101" s="38">
        <f>'Instrumen Audit SPMI 2021'!A95</f>
        <v>0</v>
      </c>
      <c r="B101" s="33">
        <f>'Instrumen Audit SPMI 2021'!B95</f>
        <v>0</v>
      </c>
      <c r="C101" s="33">
        <f>'Instrumen Audit SPMI 2021'!C95</f>
        <v>0</v>
      </c>
      <c r="D101" s="33">
        <f>'Instrumen Audit SPMI 2021'!F95</f>
        <v>0</v>
      </c>
      <c r="E101" s="32" t="str">
        <f t="shared" si="0"/>
        <v xml:space="preserve"> </v>
      </c>
      <c r="F101" s="34" t="str">
        <f>IF(G101="open",'Instrumen Audit SPMI 2021'!$B$3," ")</f>
        <v xml:space="preserve"> </v>
      </c>
      <c r="G101" s="32">
        <f>'Instrumen Audit SPMI 2021'!H95</f>
        <v>0</v>
      </c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spans="1:26" ht="79.5" hidden="1" customHeight="1">
      <c r="A102" s="38">
        <f>'Instrumen Audit SPMI 2021'!A96</f>
        <v>0</v>
      </c>
      <c r="B102" s="33">
        <f>'Instrumen Audit SPMI 2021'!B96</f>
        <v>0</v>
      </c>
      <c r="C102" s="33">
        <f>'Instrumen Audit SPMI 2021'!C96</f>
        <v>0</v>
      </c>
      <c r="D102" s="33">
        <f>'Instrumen Audit SPMI 2021'!F96</f>
        <v>0</v>
      </c>
      <c r="E102" s="32" t="str">
        <f t="shared" si="0"/>
        <v xml:space="preserve"> </v>
      </c>
      <c r="F102" s="34" t="str">
        <f>IF(G102="open",'Instrumen Audit SPMI 2021'!$B$3," ")</f>
        <v xml:space="preserve"> </v>
      </c>
      <c r="G102" s="32">
        <f>'Instrumen Audit SPMI 2021'!H96</f>
        <v>0</v>
      </c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spans="1:26" ht="79.5" hidden="1" customHeight="1">
      <c r="A103" s="38">
        <f>'Instrumen Audit SPMI 2021'!A97</f>
        <v>0</v>
      </c>
      <c r="B103" s="33">
        <f>'Instrumen Audit SPMI 2021'!B97</f>
        <v>0</v>
      </c>
      <c r="C103" s="33">
        <f>'Instrumen Audit SPMI 2021'!C97</f>
        <v>0</v>
      </c>
      <c r="D103" s="33">
        <f>'Instrumen Audit SPMI 2021'!F97</f>
        <v>0</v>
      </c>
      <c r="E103" s="32" t="str">
        <f t="shared" si="0"/>
        <v xml:space="preserve"> </v>
      </c>
      <c r="F103" s="34" t="str">
        <f>IF(G103="open",'Instrumen Audit SPMI 2021'!$B$3," ")</f>
        <v xml:space="preserve"> </v>
      </c>
      <c r="G103" s="32">
        <f>'Instrumen Audit SPMI 2021'!H97</f>
        <v>0</v>
      </c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spans="1:26" ht="79.5" hidden="1" customHeight="1">
      <c r="A104" s="38">
        <f>'Instrumen Audit SPMI 2021'!A98</f>
        <v>0</v>
      </c>
      <c r="B104" s="33">
        <f>'Instrumen Audit SPMI 2021'!B98</f>
        <v>0</v>
      </c>
      <c r="C104" s="33">
        <f>'Instrumen Audit SPMI 2021'!C98</f>
        <v>0</v>
      </c>
      <c r="D104" s="33">
        <f>'Instrumen Audit SPMI 2021'!F98</f>
        <v>0</v>
      </c>
      <c r="E104" s="32" t="str">
        <f t="shared" si="0"/>
        <v xml:space="preserve"> </v>
      </c>
      <c r="F104" s="34" t="str">
        <f>IF(G104="open",'Instrumen Audit SPMI 2021'!$B$3," ")</f>
        <v xml:space="preserve"> </v>
      </c>
      <c r="G104" s="32">
        <f>'Instrumen Audit SPMI 2021'!H98</f>
        <v>0</v>
      </c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spans="1:26" ht="79.5" hidden="1" customHeight="1">
      <c r="A105" s="38">
        <f>'Instrumen Audit SPMI 2021'!A99</f>
        <v>0</v>
      </c>
      <c r="B105" s="33">
        <f>'Instrumen Audit SPMI 2021'!B99</f>
        <v>0</v>
      </c>
      <c r="C105" s="33">
        <f>'Instrumen Audit SPMI 2021'!C99</f>
        <v>0</v>
      </c>
      <c r="D105" s="33">
        <f>'Instrumen Audit SPMI 2021'!F99</f>
        <v>0</v>
      </c>
      <c r="E105" s="32" t="str">
        <f t="shared" si="0"/>
        <v xml:space="preserve"> </v>
      </c>
      <c r="F105" s="34" t="str">
        <f>IF(G105="open",'Instrumen Audit SPMI 2021'!$B$3," ")</f>
        <v xml:space="preserve"> </v>
      </c>
      <c r="G105" s="32">
        <f>'Instrumen Audit SPMI 2021'!H99</f>
        <v>0</v>
      </c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spans="1:26" ht="15.7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spans="1:26" ht="37.5" customHeight="1">
      <c r="A107" s="27"/>
      <c r="B107" s="27"/>
      <c r="C107" s="27"/>
      <c r="D107" s="27"/>
      <c r="E107" s="34" t="s">
        <v>34</v>
      </c>
      <c r="F107" s="34" t="s">
        <v>35</v>
      </c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spans="1:26" ht="75.75" customHeight="1">
      <c r="A108" s="27"/>
      <c r="B108" s="27"/>
      <c r="C108" s="27"/>
      <c r="D108" s="27"/>
      <c r="E108" s="33"/>
      <c r="F108" s="33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spans="1:26" ht="23.25" customHeight="1">
      <c r="A109" s="27"/>
      <c r="B109" s="27"/>
      <c r="C109" s="27"/>
      <c r="D109" s="27"/>
      <c r="E109" s="34"/>
      <c r="F109" s="34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spans="1:26" ht="23.25" customHeight="1">
      <c r="A110" s="27"/>
      <c r="B110" s="27"/>
      <c r="C110" s="27"/>
      <c r="D110" s="27"/>
      <c r="E110" s="39"/>
      <c r="F110" s="39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spans="1:26" ht="15.75" customHeight="1">
      <c r="A111" s="27"/>
      <c r="B111" s="27"/>
      <c r="C111" s="27"/>
      <c r="D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spans="1:26" ht="15.75" customHeight="1">
      <c r="A112" s="27"/>
      <c r="B112" s="27"/>
      <c r="C112" s="27"/>
      <c r="D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spans="1:26" ht="15.7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spans="1:26" ht="15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spans="1:26" ht="15.7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spans="1:26" ht="15.7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spans="1:26" ht="15.7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spans="1:26" ht="15.7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spans="1:26" ht="15.7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spans="1:26" ht="15.7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spans="1:26" ht="15.7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spans="1:26" ht="15.7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spans="1:26" ht="15.7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spans="1:26" ht="15.7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spans="1:26" ht="15.7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spans="1:26" ht="15.7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spans="1:26" ht="15.7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spans="1:26" ht="15.7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spans="1:26" ht="15.7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spans="1:26" ht="15.7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spans="1:26" ht="15.7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spans="1:26" ht="15.7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spans="1:26" ht="15.7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spans="1:26" ht="15.7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spans="1:26" ht="15.7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spans="1:26" ht="15.7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spans="1:26" ht="15.7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spans="1:26" ht="15.7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spans="1:26" ht="15.7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spans="1:26" ht="15.7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spans="1:26" ht="15.7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spans="1:26" ht="15.7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spans="1:26" ht="15.7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spans="1:26" ht="15.7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spans="1:26" ht="15.7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spans="1:26" ht="15.7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spans="1:26" ht="15.7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spans="1:26" ht="15.7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spans="1:26" ht="15.7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spans="1:26" ht="15.7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spans="1:26" ht="15.7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spans="1:26" ht="15.7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spans="1:26" ht="15.7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spans="1:26" ht="15.7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spans="1:26" ht="15.7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spans="1:26" ht="15.7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spans="1:26" ht="15.7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spans="1:26" ht="15.7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spans="1:26" ht="15.7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spans="1:26" ht="15.7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spans="1:26" ht="15.7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spans="1:26" ht="15.7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spans="1:26" ht="15.7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spans="1:26" ht="15.7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spans="1:26" ht="15.7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spans="1:26" ht="15.7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spans="1:26" ht="15.7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spans="1:26" ht="15.7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spans="1:26" ht="15.7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spans="1:26" ht="15.7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spans="1:26" ht="15.7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spans="1:26" ht="15.7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spans="1:26" ht="15.7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spans="1:26" ht="15.7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spans="1:26" ht="15.7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spans="1:26" ht="15.7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spans="1:26" ht="15.7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spans="1:26" ht="15.7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spans="1:26" ht="15.7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spans="1:26" ht="15.7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spans="1:26" ht="15.7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spans="1:26" ht="15.7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spans="1:26" ht="15.7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spans="1:26" ht="15.7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spans="1:26" ht="15.7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spans="1:26" ht="15.7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spans="1:26" ht="15.7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spans="1:26" ht="15.7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spans="1:26" ht="15.7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spans="1:26" ht="15.7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spans="1:26" ht="15.7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spans="1:26" ht="15.7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spans="1:26" ht="15.7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spans="1:26" ht="15.7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spans="1:26" ht="15.7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spans="1:26" ht="15.7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spans="1:26" ht="15.7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spans="1:26" ht="15.7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spans="1:26" ht="15.7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spans="1:26" ht="15.7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spans="1:26" ht="15.7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spans="1:26" ht="15.7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spans="1:26" ht="15.7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spans="1:26" ht="15.7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spans="1:26" ht="15.7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spans="1:26" ht="15.7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spans="1:26" ht="15.7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spans="1:26" ht="15.7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spans="1:26" ht="15.7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spans="1:26" ht="15.7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spans="1:26" ht="15.7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spans="1:26" ht="15.7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spans="1:26" ht="15.7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spans="1:26" ht="15.7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spans="1:26" ht="15.7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spans="1:26" ht="15.7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spans="1:26" ht="15.7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spans="1:26" ht="15.7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spans="1:26" ht="15.7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spans="1:26" ht="15.7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spans="1:26" ht="15.7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spans="1:26" ht="15.7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spans="1:26" ht="15.7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spans="1:26" ht="15.7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spans="1:26" ht="15.7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spans="1:26" ht="15.7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spans="1:26" ht="15.7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spans="1:26" ht="15.7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spans="1:26" ht="15.7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spans="1:26" ht="15.7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spans="1:26" ht="15.7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spans="1:26" ht="15.7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spans="1:26" ht="15.7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spans="1:26" ht="15.7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spans="1:26" ht="15.7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spans="1:26" ht="15.7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spans="1:26" ht="15.7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spans="1:26" ht="15.7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spans="1:26" ht="15.7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spans="1:26" ht="15.7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spans="1:26" ht="15.7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spans="1:26" ht="15.7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spans="1:26" ht="15.7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spans="1:26" ht="15.7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spans="1:26" ht="15.7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spans="1:26" ht="15.7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spans="1:26" ht="15.7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spans="1:26" ht="15.7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spans="1:26" ht="15.7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spans="1:26" ht="15.7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spans="1:26" ht="15.7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spans="1:26" ht="15.7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spans="1:26" ht="15.7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spans="1:26" ht="15.7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spans="1:26" ht="15.7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spans="1:26" ht="15.7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spans="1:26" ht="15.7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spans="1:26" ht="15.7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spans="1:26" ht="15.7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spans="1:26" ht="15.7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spans="1:26" ht="15.7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spans="1:26" ht="15.7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spans="1:26" ht="15.7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spans="1:26" ht="15.7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spans="1:26" ht="15.7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spans="1:26" ht="15.7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spans="1:26" ht="15.7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spans="1:26" ht="15.7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spans="1:26" ht="15.7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spans="1:26" ht="15.7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spans="1:26" ht="15.7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spans="1:26" ht="15.7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spans="1:26" ht="15.7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spans="1:26" ht="15.7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spans="1:26" ht="15.7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spans="1:26" ht="15.7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spans="1:26" ht="15.7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spans="1:26" ht="15.7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spans="1:26" ht="15.7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spans="1:26" ht="15.7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spans="1:26" ht="15.7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spans="1:26" ht="15.7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spans="1:26" ht="15.7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spans="1:26" ht="15.7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spans="1:26" ht="15.7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spans="1:26" ht="15.7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spans="1:26" ht="15.7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spans="1:26" ht="15.7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spans="1:26" ht="15.7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spans="1:26" ht="15.7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spans="1:26" ht="15.7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spans="1:26" ht="15.7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spans="1:26" ht="15.7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spans="1:26" ht="15.7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spans="1:26" ht="15.7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spans="1:26" ht="15.7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spans="1:26" ht="15.7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spans="1:26" ht="15.7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spans="1:26" ht="15.7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spans="1:26" ht="15.7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spans="1:26" ht="15.7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spans="1:26" ht="15.7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spans="1:26" ht="15.7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spans="1:26" ht="15.7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spans="1:26" ht="15.7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spans="1:26" ht="15.7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spans="1:26" ht="15.7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spans="1:26" ht="15.7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spans="1:26" ht="15.7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spans="1:26" ht="15.7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spans="1:26" ht="15.75" customHeight="1"/>
    <row r="312" spans="1:26" ht="15.75" customHeight="1"/>
    <row r="313" spans="1:26" ht="15.75" customHeight="1"/>
    <row r="314" spans="1:26" ht="15.75" customHeight="1"/>
    <row r="315" spans="1:26" ht="15.75" customHeight="1"/>
    <row r="316" spans="1:26" ht="15.75" customHeight="1"/>
    <row r="317" spans="1:26" ht="15.75" customHeight="1"/>
    <row r="318" spans="1:26" ht="15.75" customHeight="1"/>
    <row r="319" spans="1:26" ht="15.75" customHeight="1"/>
    <row r="320" spans="1:26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6:G6"/>
    <mergeCell ref="A7:G7"/>
    <mergeCell ref="A1:G1"/>
    <mergeCell ref="A2:G2"/>
    <mergeCell ref="A3:G3"/>
    <mergeCell ref="A4:G4"/>
    <mergeCell ref="A5:G5"/>
    <mergeCell ref="A8:G8"/>
    <mergeCell ref="F10:G10"/>
    <mergeCell ref="A11:A12"/>
    <mergeCell ref="B11:B12"/>
    <mergeCell ref="C11:C12"/>
    <mergeCell ref="D11:D12"/>
    <mergeCell ref="E11:E12"/>
    <mergeCell ref="F11:G11"/>
  </mergeCells>
  <conditionalFormatting sqref="G13:G105">
    <cfRule type="containsText" dxfId="2" priority="1" operator="containsText" text="OPEN">
      <formula>NOT(ISERROR(SEARCH(("OPEN"),(G13))))</formula>
    </cfRule>
    <cfRule type="notContainsText" dxfId="1" priority="2" operator="notContains" text="OPEN">
      <formula>ISERROR(SEARCH(("OPEN"),(G13)))</formula>
    </cfRule>
  </conditionalFormatting>
  <hyperlinks>
    <hyperlink ref="A7" r:id="rId1" xr:uid="{00000000-0004-0000-0100-000000000000}"/>
  </hyperlinks>
  <printOptions horizontalCentered="1"/>
  <pageMargins left="0.7" right="0.7" top="0.75" bottom="0.75" header="0" footer="0"/>
  <pageSetup paperSize="9" fitToHeight="0" pageOrder="overThenDown" orientation="landscape" cellComments="atEnd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Z988"/>
  <sheetViews>
    <sheetView topLeftCell="B34" zoomScale="62" workbookViewId="0">
      <selection activeCell="F97" sqref="F97"/>
    </sheetView>
  </sheetViews>
  <sheetFormatPr defaultColWidth="12.6640625" defaultRowHeight="15" customHeight="1"/>
  <cols>
    <col min="1" max="1" width="6.75" customWidth="1"/>
    <col min="2" max="2" width="33.1640625" customWidth="1"/>
    <col min="3" max="3" width="36.4140625" customWidth="1"/>
    <col min="4" max="4" width="37.25" customWidth="1"/>
    <col min="5" max="5" width="17.25" customWidth="1"/>
    <col min="6" max="6" width="17.9140625" customWidth="1"/>
    <col min="7" max="7" width="16" customWidth="1"/>
    <col min="8" max="8" width="20.75" customWidth="1"/>
    <col min="9" max="9" width="14.1640625" customWidth="1"/>
    <col min="10" max="10" width="13.75" customWidth="1"/>
  </cols>
  <sheetData>
    <row r="1" spans="1:26" ht="15.75" customHeight="1">
      <c r="A1" s="47" t="s">
        <v>12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30"/>
    </row>
    <row r="2" spans="1:26" ht="15.75" customHeight="1">
      <c r="A2" s="47" t="s">
        <v>13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30"/>
    </row>
    <row r="3" spans="1:26" ht="15.75" customHeight="1">
      <c r="A3" s="49" t="s">
        <v>14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30"/>
    </row>
    <row r="4" spans="1:26" ht="15.75" customHeight="1">
      <c r="A4" s="50" t="s">
        <v>15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30"/>
    </row>
    <row r="5" spans="1:26" ht="15.75" customHeight="1">
      <c r="A5" s="51" t="s">
        <v>16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30"/>
    </row>
    <row r="6" spans="1:26" ht="15.75" customHeight="1">
      <c r="A6" s="51" t="s">
        <v>17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30"/>
    </row>
    <row r="7" spans="1:26" ht="15.75" customHeight="1">
      <c r="A7" s="52" t="s">
        <v>36</v>
      </c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30"/>
    </row>
    <row r="8" spans="1:26" ht="10.5" customHeight="1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54" t="s">
        <v>37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spans="1:26" ht="15.75" customHeight="1">
      <c r="A10" s="55" t="s">
        <v>38</v>
      </c>
      <c r="B10" s="56"/>
      <c r="C10" s="57"/>
      <c r="D10" s="58"/>
      <c r="E10" s="59"/>
      <c r="F10" s="59"/>
      <c r="G10" s="59"/>
      <c r="H10" s="59"/>
      <c r="I10" s="59"/>
      <c r="J10" s="59"/>
      <c r="K10" s="59"/>
      <c r="L10" s="59"/>
      <c r="M10" s="6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spans="1:26" ht="15.75" customHeight="1">
      <c r="A11" s="63" t="str">
        <f>'Hasil AMI  Tindak lanjut'!C10</f>
        <v xml:space="preserve"> </v>
      </c>
      <c r="B11" s="56"/>
      <c r="C11" s="57"/>
      <c r="D11" s="61"/>
      <c r="E11" s="53"/>
      <c r="F11" s="53"/>
      <c r="G11" s="53"/>
      <c r="H11" s="53"/>
      <c r="I11" s="53"/>
      <c r="J11" s="53"/>
      <c r="K11" s="53"/>
      <c r="L11" s="53"/>
      <c r="M11" s="62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spans="1:26" ht="15.75" customHeight="1">
      <c r="A12" s="55" t="s">
        <v>39</v>
      </c>
      <c r="B12" s="56"/>
      <c r="C12" s="57"/>
      <c r="D12" s="64" t="s">
        <v>40</v>
      </c>
      <c r="E12" s="56"/>
      <c r="F12" s="56"/>
      <c r="G12" s="56"/>
      <c r="H12" s="57"/>
      <c r="I12" s="65" t="s">
        <v>41</v>
      </c>
      <c r="J12" s="56"/>
      <c r="K12" s="56"/>
      <c r="L12" s="56"/>
      <c r="M12" s="57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spans="1:26" ht="15.75" customHeight="1">
      <c r="A13" s="67"/>
      <c r="B13" s="56"/>
      <c r="C13" s="57"/>
      <c r="D13" s="66"/>
      <c r="E13" s="56"/>
      <c r="F13" s="56"/>
      <c r="G13" s="56"/>
      <c r="H13" s="57"/>
      <c r="I13" s="68"/>
      <c r="J13" s="56"/>
      <c r="K13" s="56"/>
      <c r="L13" s="56"/>
      <c r="M13" s="57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spans="1:26" ht="15.75" customHeight="1">
      <c r="A14" s="55" t="s">
        <v>42</v>
      </c>
      <c r="B14" s="56"/>
      <c r="C14" s="57"/>
      <c r="D14" s="64" t="s">
        <v>43</v>
      </c>
      <c r="E14" s="56"/>
      <c r="F14" s="56"/>
      <c r="G14" s="56"/>
      <c r="H14" s="57"/>
      <c r="I14" s="64" t="s">
        <v>44</v>
      </c>
      <c r="J14" s="56"/>
      <c r="K14" s="56"/>
      <c r="L14" s="56"/>
      <c r="M14" s="57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spans="1:26" ht="15.75" customHeight="1">
      <c r="A15" s="67"/>
      <c r="B15" s="56"/>
      <c r="C15" s="57"/>
      <c r="D15" s="66"/>
      <c r="E15" s="56"/>
      <c r="F15" s="56"/>
      <c r="G15" s="56"/>
      <c r="H15" s="57"/>
      <c r="I15" s="66"/>
      <c r="J15" s="56"/>
      <c r="K15" s="56"/>
      <c r="L15" s="56"/>
      <c r="M15" s="57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spans="1:26" ht="15.75" customHeight="1">
      <c r="A16" s="72" t="s">
        <v>45</v>
      </c>
      <c r="B16" s="56"/>
      <c r="C16" s="56"/>
      <c r="D16" s="56"/>
      <c r="E16" s="57"/>
      <c r="F16" s="31" t="s">
        <v>46</v>
      </c>
      <c r="G16" s="32" t="s">
        <v>47</v>
      </c>
      <c r="H16" s="31" t="s">
        <v>48</v>
      </c>
      <c r="I16" s="32" t="s">
        <v>47</v>
      </c>
      <c r="J16" s="31" t="s">
        <v>49</v>
      </c>
      <c r="K16" s="32" t="s">
        <v>47</v>
      </c>
      <c r="L16" s="31" t="s">
        <v>50</v>
      </c>
      <c r="M16" s="32" t="s">
        <v>47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spans="1:26" ht="15.75" customHeight="1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spans="1:26" ht="37.5" customHeight="1">
      <c r="A18" s="42" t="s">
        <v>51</v>
      </c>
      <c r="B18" s="42" t="s">
        <v>52</v>
      </c>
      <c r="C18" s="42" t="s">
        <v>53</v>
      </c>
      <c r="D18" s="42" t="s">
        <v>54</v>
      </c>
      <c r="E18" s="42" t="s">
        <v>55</v>
      </c>
      <c r="F18" s="42" t="s">
        <v>56</v>
      </c>
      <c r="G18" s="42" t="s">
        <v>57</v>
      </c>
      <c r="H18" s="42" t="s">
        <v>58</v>
      </c>
      <c r="I18" s="42" t="s">
        <v>59</v>
      </c>
      <c r="J18" s="42" t="s">
        <v>60</v>
      </c>
      <c r="K18" s="42" t="s">
        <v>61</v>
      </c>
      <c r="L18" s="42" t="s">
        <v>62</v>
      </c>
      <c r="M18" s="42" t="s">
        <v>63</v>
      </c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spans="1:26" ht="80.25" hidden="1" customHeight="1">
      <c r="A19" s="32">
        <f>'Hasil AMI  Tindak lanjut'!A13</f>
        <v>0</v>
      </c>
      <c r="B19" s="33">
        <f>'Instrumen Audit SPMI 2021'!B7</f>
        <v>0</v>
      </c>
      <c r="C19" s="43">
        <f>'Hasil AMI  Tindak lanjut'!C13</f>
        <v>0</v>
      </c>
      <c r="D19" s="33">
        <f>'Hasil AMI  Tindak lanjut'!D13</f>
        <v>0</v>
      </c>
      <c r="E19" s="34" t="str">
        <f t="shared" ref="E19:E87" si="0">IF(F19="TIDAK TERCAPAI","TIDAK SESUAI SPMI","-")</f>
        <v>TIDAK SESUAI SPMI</v>
      </c>
      <c r="F19" s="32" t="str">
        <f t="shared" ref="F19:F87" si="1">IF(M19="CLOSED","Tercapai","Tidak Tercapai")</f>
        <v>Tidak Tercapai</v>
      </c>
      <c r="G19" s="32" t="str">
        <f t="shared" ref="G19:G87" si="2">IF(F19="TIDAK TERCAPAI","SETUJU","-")</f>
        <v>SETUJU</v>
      </c>
      <c r="H19" s="43" t="str">
        <f t="shared" ref="H19:H87" si="3">IF(F19="TIDAK TERCAPAI","Perbaikan sesuai standar SPMI dan hasil tinjauan manajemen ","-")</f>
        <v xml:space="preserve">Perbaikan sesuai standar SPMI dan hasil tinjauan manajemen </v>
      </c>
      <c r="I19" s="43" t="str">
        <f t="shared" ref="I19:I87" si="4">IF(F19="TIDAK TERCAPAI","PERIODE AMI BERIKUTNYA","-")</f>
        <v>PERIODE AMI BERIKUTNYA</v>
      </c>
      <c r="J19" s="34" t="str">
        <f t="shared" ref="J19:J87" si="5">IF(F19="TIDAK TERCAPAI","KPS","-")</f>
        <v>KPS</v>
      </c>
      <c r="K19" s="34" t="str">
        <f t="shared" ref="K19:K87" si="6">IF(F19="TIDAK TERCAPAI","Monev Prodi","-")</f>
        <v>Monev Prodi</v>
      </c>
      <c r="L19" s="32"/>
      <c r="M19" s="34">
        <f>'Hasil AMI  Tindak lanjut'!G13</f>
        <v>0</v>
      </c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spans="1:26" ht="80.25" customHeight="1">
      <c r="A20" s="32"/>
      <c r="B20" s="33"/>
      <c r="C20" s="43"/>
      <c r="D20" s="33"/>
      <c r="E20" s="34"/>
      <c r="F20" s="32"/>
      <c r="G20" s="32"/>
      <c r="H20" s="43"/>
      <c r="I20" s="43"/>
      <c r="J20" s="34"/>
      <c r="K20" s="34"/>
      <c r="L20" s="32"/>
      <c r="M20" s="34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spans="1:26" ht="80.25" customHeight="1">
      <c r="A21" s="32"/>
      <c r="B21" s="33"/>
      <c r="C21" s="43"/>
      <c r="D21" s="33"/>
      <c r="E21" s="34"/>
      <c r="F21" s="32"/>
      <c r="G21" s="32"/>
      <c r="H21" s="43"/>
      <c r="I21" s="43"/>
      <c r="J21" s="34"/>
      <c r="K21" s="34"/>
      <c r="L21" s="32"/>
      <c r="M21" s="34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spans="1:26" ht="80.25" customHeight="1">
      <c r="A22" s="32"/>
      <c r="B22" s="35"/>
      <c r="C22" s="43"/>
      <c r="D22" s="33"/>
      <c r="E22" s="34"/>
      <c r="F22" s="32"/>
      <c r="G22" s="32"/>
      <c r="H22" s="43"/>
      <c r="I22" s="43"/>
      <c r="J22" s="34"/>
      <c r="K22" s="34"/>
      <c r="L22" s="32"/>
      <c r="M22" s="34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spans="1:26" ht="80.25" customHeight="1">
      <c r="A23" s="32"/>
      <c r="B23" s="33"/>
      <c r="C23" s="43"/>
      <c r="D23" s="33"/>
      <c r="E23" s="34"/>
      <c r="F23" s="32"/>
      <c r="G23" s="32"/>
      <c r="H23" s="43"/>
      <c r="I23" s="43"/>
      <c r="J23" s="34"/>
      <c r="K23" s="34"/>
      <c r="L23" s="32"/>
      <c r="M23" s="34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spans="1:26" ht="80.25" customHeight="1">
      <c r="A24" s="32"/>
      <c r="B24" s="33"/>
      <c r="C24" s="44"/>
      <c r="D24" s="33"/>
      <c r="E24" s="34"/>
      <c r="F24" s="32"/>
      <c r="G24" s="32"/>
      <c r="H24" s="43"/>
      <c r="I24" s="43"/>
      <c r="J24" s="34"/>
      <c r="K24" s="34"/>
      <c r="L24" s="32"/>
      <c r="M24" s="34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spans="1:26" ht="80.25" customHeight="1">
      <c r="A25" s="32"/>
      <c r="B25" s="33"/>
      <c r="C25" s="43"/>
      <c r="D25" s="33"/>
      <c r="E25" s="34"/>
      <c r="F25" s="32"/>
      <c r="G25" s="32"/>
      <c r="H25" s="43"/>
      <c r="I25" s="43"/>
      <c r="J25" s="34"/>
      <c r="K25" s="34"/>
      <c r="L25" s="32"/>
      <c r="M25" s="34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spans="1:26" ht="102.75" customHeight="1">
      <c r="A26" s="45"/>
      <c r="B26" s="33"/>
      <c r="C26" s="43"/>
      <c r="D26" s="33"/>
      <c r="E26" s="34"/>
      <c r="F26" s="32"/>
      <c r="G26" s="32"/>
      <c r="H26" s="43"/>
      <c r="I26" s="43"/>
      <c r="J26" s="34"/>
      <c r="K26" s="34"/>
      <c r="L26" s="32"/>
      <c r="M26" s="34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spans="1:26" ht="104.25" customHeight="1">
      <c r="A27" s="45"/>
      <c r="B27" s="33"/>
      <c r="C27" s="43"/>
      <c r="D27" s="33"/>
      <c r="E27" s="34"/>
      <c r="F27" s="32"/>
      <c r="G27" s="32"/>
      <c r="H27" s="43"/>
      <c r="I27" s="43"/>
      <c r="J27" s="34"/>
      <c r="K27" s="34"/>
      <c r="L27" s="32"/>
      <c r="M27" s="34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spans="1:26" ht="114" customHeight="1">
      <c r="A28" s="45"/>
      <c r="B28" s="33"/>
      <c r="C28" s="43"/>
      <c r="D28" s="33"/>
      <c r="E28" s="34"/>
      <c r="F28" s="32"/>
      <c r="G28" s="32"/>
      <c r="H28" s="43"/>
      <c r="I28" s="43"/>
      <c r="J28" s="34"/>
      <c r="K28" s="34"/>
      <c r="L28" s="32"/>
      <c r="M28" s="34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spans="1:26" ht="80.25" hidden="1" customHeight="1">
      <c r="A29" s="32"/>
      <c r="B29" s="33"/>
      <c r="C29" s="43"/>
      <c r="D29" s="33"/>
      <c r="E29" s="34"/>
      <c r="F29" s="32"/>
      <c r="G29" s="32"/>
      <c r="H29" s="43"/>
      <c r="I29" s="43"/>
      <c r="J29" s="34"/>
      <c r="K29" s="34"/>
      <c r="L29" s="32"/>
      <c r="M29" s="34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spans="1:26" ht="90.75" hidden="1" customHeight="1">
      <c r="A30" s="32"/>
      <c r="B30" s="33"/>
      <c r="C30" s="43"/>
      <c r="D30" s="33"/>
      <c r="E30" s="34"/>
      <c r="F30" s="32"/>
      <c r="G30" s="32"/>
      <c r="H30" s="43"/>
      <c r="I30" s="43"/>
      <c r="J30" s="34"/>
      <c r="K30" s="34"/>
      <c r="L30" s="32"/>
      <c r="M30" s="34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spans="1:26" ht="105.75" hidden="1" customHeight="1">
      <c r="A31" s="45"/>
      <c r="B31" s="33"/>
      <c r="C31" s="43"/>
      <c r="D31" s="33"/>
      <c r="E31" s="34"/>
      <c r="F31" s="32"/>
      <c r="G31" s="32"/>
      <c r="H31" s="43"/>
      <c r="I31" s="43"/>
      <c r="J31" s="34"/>
      <c r="K31" s="34"/>
      <c r="L31" s="32"/>
      <c r="M31" s="34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spans="1:26" ht="80.25" hidden="1" customHeight="1">
      <c r="A32" s="45"/>
      <c r="B32" s="33"/>
      <c r="C32" s="43"/>
      <c r="D32" s="33"/>
      <c r="E32" s="34"/>
      <c r="F32" s="32"/>
      <c r="G32" s="32"/>
      <c r="H32" s="43"/>
      <c r="I32" s="43"/>
      <c r="J32" s="34"/>
      <c r="K32" s="34"/>
      <c r="L32" s="32"/>
      <c r="M32" s="34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spans="1:26" ht="80.25" hidden="1" customHeight="1">
      <c r="A33" s="45"/>
      <c r="B33" s="33"/>
      <c r="C33" s="43"/>
      <c r="D33" s="33"/>
      <c r="E33" s="34"/>
      <c r="F33" s="32"/>
      <c r="G33" s="32"/>
      <c r="H33" s="43"/>
      <c r="I33" s="43"/>
      <c r="J33" s="34"/>
      <c r="K33" s="34"/>
      <c r="L33" s="32"/>
      <c r="M33" s="34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spans="1:26" ht="107.25" customHeight="1">
      <c r="A34" s="45"/>
      <c r="B34" s="33"/>
      <c r="C34" s="43"/>
      <c r="D34" s="33"/>
      <c r="E34" s="34"/>
      <c r="F34" s="32"/>
      <c r="G34" s="32"/>
      <c r="H34" s="43"/>
      <c r="I34" s="43"/>
      <c r="J34" s="34"/>
      <c r="K34" s="34"/>
      <c r="L34" s="32"/>
      <c r="M34" s="34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spans="1:26" ht="137.25" hidden="1" customHeight="1">
      <c r="A35" s="45">
        <v>45876</v>
      </c>
      <c r="B35" s="33" t="s">
        <v>64</v>
      </c>
      <c r="C35" s="43" t="str">
        <f>'Hasil AMI  Tindak lanjut'!D41</f>
        <v>-</v>
      </c>
      <c r="D35" s="33" t="str">
        <f>'Hasil AMI  Tindak lanjut'!D41</f>
        <v>-</v>
      </c>
      <c r="E35" s="34" t="str">
        <f t="shared" si="0"/>
        <v>TIDAK SESUAI SPMI</v>
      </c>
      <c r="F35" s="32" t="str">
        <f t="shared" si="1"/>
        <v>Tidak Tercapai</v>
      </c>
      <c r="G35" s="32" t="str">
        <f t="shared" si="2"/>
        <v>SETUJU</v>
      </c>
      <c r="H35" s="43" t="str">
        <f t="shared" si="3"/>
        <v xml:space="preserve">Perbaikan sesuai standar SPMI dan hasil tinjauan manajemen </v>
      </c>
      <c r="I35" s="43" t="str">
        <f t="shared" si="4"/>
        <v>PERIODE AMI BERIKUTNYA</v>
      </c>
      <c r="J35" s="34" t="str">
        <f t="shared" si="5"/>
        <v>KPS</v>
      </c>
      <c r="K35" s="34" t="str">
        <f t="shared" si="6"/>
        <v>Monev Prodi</v>
      </c>
      <c r="L35" s="32"/>
      <c r="M35" s="34">
        <f>'Hasil AMI  Tindak lanjut'!G41</f>
        <v>0</v>
      </c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spans="1:26" ht="137.25" hidden="1" customHeight="1">
      <c r="A36" s="32">
        <f>'Hasil AMI  Tindak lanjut'!A42</f>
        <v>0</v>
      </c>
      <c r="B36" s="33">
        <f>'Instrumen Audit SPMI 2021'!B36</f>
        <v>0</v>
      </c>
      <c r="C36" s="43">
        <f>'Hasil AMI  Tindak lanjut'!D42</f>
        <v>0</v>
      </c>
      <c r="D36" s="33">
        <f>'Hasil AMI  Tindak lanjut'!D42</f>
        <v>0</v>
      </c>
      <c r="E36" s="34" t="str">
        <f t="shared" si="0"/>
        <v>TIDAK SESUAI SPMI</v>
      </c>
      <c r="F36" s="32" t="str">
        <f t="shared" si="1"/>
        <v>Tidak Tercapai</v>
      </c>
      <c r="G36" s="32" t="str">
        <f t="shared" si="2"/>
        <v>SETUJU</v>
      </c>
      <c r="H36" s="43" t="str">
        <f t="shared" si="3"/>
        <v xml:space="preserve">Perbaikan sesuai standar SPMI dan hasil tinjauan manajemen </v>
      </c>
      <c r="I36" s="43" t="str">
        <f t="shared" si="4"/>
        <v>PERIODE AMI BERIKUTNYA</v>
      </c>
      <c r="J36" s="34" t="str">
        <f t="shared" si="5"/>
        <v>KPS</v>
      </c>
      <c r="K36" s="34" t="str">
        <f t="shared" si="6"/>
        <v>Monev Prodi</v>
      </c>
      <c r="L36" s="32"/>
      <c r="M36" s="34">
        <f>'Hasil AMI  Tindak lanjut'!G42</f>
        <v>0</v>
      </c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spans="1:26" ht="137.25" hidden="1" customHeight="1">
      <c r="A37" s="32">
        <f>'Hasil AMI  Tindak lanjut'!A43</f>
        <v>0</v>
      </c>
      <c r="B37" s="33">
        <f>'Instrumen Audit SPMI 2021'!B37</f>
        <v>0</v>
      </c>
      <c r="C37" s="43">
        <f>'Hasil AMI  Tindak lanjut'!D43</f>
        <v>0</v>
      </c>
      <c r="D37" s="33">
        <f>'Hasil AMI  Tindak lanjut'!D43</f>
        <v>0</v>
      </c>
      <c r="E37" s="34" t="str">
        <f t="shared" si="0"/>
        <v>TIDAK SESUAI SPMI</v>
      </c>
      <c r="F37" s="32" t="str">
        <f t="shared" si="1"/>
        <v>Tidak Tercapai</v>
      </c>
      <c r="G37" s="32" t="str">
        <f t="shared" si="2"/>
        <v>SETUJU</v>
      </c>
      <c r="H37" s="43" t="str">
        <f t="shared" si="3"/>
        <v xml:space="preserve">Perbaikan sesuai standar SPMI dan hasil tinjauan manajemen </v>
      </c>
      <c r="I37" s="43" t="str">
        <f t="shared" si="4"/>
        <v>PERIODE AMI BERIKUTNYA</v>
      </c>
      <c r="J37" s="34" t="str">
        <f t="shared" si="5"/>
        <v>KPS</v>
      </c>
      <c r="K37" s="34" t="str">
        <f t="shared" si="6"/>
        <v>Monev Prodi</v>
      </c>
      <c r="L37" s="32"/>
      <c r="M37" s="34">
        <f>'Hasil AMI  Tindak lanjut'!G43</f>
        <v>0</v>
      </c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spans="1:26" ht="137.25" hidden="1" customHeight="1">
      <c r="A38" s="32">
        <f>'Hasil AMI  Tindak lanjut'!A44</f>
        <v>0</v>
      </c>
      <c r="B38" s="33">
        <f>'Instrumen Audit SPMI 2021'!B38</f>
        <v>0</v>
      </c>
      <c r="C38" s="43">
        <f>'Hasil AMI  Tindak lanjut'!D44</f>
        <v>0</v>
      </c>
      <c r="D38" s="33">
        <f>'Hasil AMI  Tindak lanjut'!D44</f>
        <v>0</v>
      </c>
      <c r="E38" s="34" t="str">
        <f t="shared" si="0"/>
        <v>TIDAK SESUAI SPMI</v>
      </c>
      <c r="F38" s="32" t="str">
        <f t="shared" si="1"/>
        <v>Tidak Tercapai</v>
      </c>
      <c r="G38" s="32" t="str">
        <f t="shared" si="2"/>
        <v>SETUJU</v>
      </c>
      <c r="H38" s="43" t="str">
        <f t="shared" si="3"/>
        <v xml:space="preserve">Perbaikan sesuai standar SPMI dan hasil tinjauan manajemen </v>
      </c>
      <c r="I38" s="43" t="str">
        <f t="shared" si="4"/>
        <v>PERIODE AMI BERIKUTNYA</v>
      </c>
      <c r="J38" s="34" t="str">
        <f t="shared" si="5"/>
        <v>KPS</v>
      </c>
      <c r="K38" s="34" t="str">
        <f t="shared" si="6"/>
        <v>Monev Prodi</v>
      </c>
      <c r="L38" s="32"/>
      <c r="M38" s="34">
        <f>'Hasil AMI  Tindak lanjut'!G44</f>
        <v>0</v>
      </c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spans="1:26" ht="137.25" hidden="1" customHeight="1">
      <c r="A39" s="32">
        <f>'Hasil AMI  Tindak lanjut'!A45</f>
        <v>0</v>
      </c>
      <c r="B39" s="33">
        <f>'Instrumen Audit SPMI 2021'!B39</f>
        <v>0</v>
      </c>
      <c r="C39" s="43">
        <f>'Hasil AMI  Tindak lanjut'!D45</f>
        <v>0</v>
      </c>
      <c r="D39" s="33">
        <f>'Hasil AMI  Tindak lanjut'!D45</f>
        <v>0</v>
      </c>
      <c r="E39" s="34" t="str">
        <f t="shared" si="0"/>
        <v>TIDAK SESUAI SPMI</v>
      </c>
      <c r="F39" s="32" t="str">
        <f t="shared" si="1"/>
        <v>Tidak Tercapai</v>
      </c>
      <c r="G39" s="32" t="str">
        <f t="shared" si="2"/>
        <v>SETUJU</v>
      </c>
      <c r="H39" s="43" t="str">
        <f t="shared" si="3"/>
        <v xml:space="preserve">Perbaikan sesuai standar SPMI dan hasil tinjauan manajemen </v>
      </c>
      <c r="I39" s="43" t="str">
        <f t="shared" si="4"/>
        <v>PERIODE AMI BERIKUTNYA</v>
      </c>
      <c r="J39" s="34" t="str">
        <f t="shared" si="5"/>
        <v>KPS</v>
      </c>
      <c r="K39" s="34" t="str">
        <f t="shared" si="6"/>
        <v>Monev Prodi</v>
      </c>
      <c r="L39" s="32"/>
      <c r="M39" s="34">
        <f>'Hasil AMI  Tindak lanjut'!G45</f>
        <v>0</v>
      </c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spans="1:26" ht="137.25" hidden="1" customHeight="1">
      <c r="A40" s="32">
        <f>'Hasil AMI  Tindak lanjut'!A46</f>
        <v>0</v>
      </c>
      <c r="B40" s="33">
        <f>'Instrumen Audit SPMI 2021'!B40</f>
        <v>0</v>
      </c>
      <c r="C40" s="43">
        <f>'Hasil AMI  Tindak lanjut'!D46</f>
        <v>0</v>
      </c>
      <c r="D40" s="33">
        <f>'Hasil AMI  Tindak lanjut'!D46</f>
        <v>0</v>
      </c>
      <c r="E40" s="34" t="str">
        <f t="shared" si="0"/>
        <v>TIDAK SESUAI SPMI</v>
      </c>
      <c r="F40" s="32" t="str">
        <f t="shared" si="1"/>
        <v>Tidak Tercapai</v>
      </c>
      <c r="G40" s="32" t="str">
        <f t="shared" si="2"/>
        <v>SETUJU</v>
      </c>
      <c r="H40" s="43" t="str">
        <f t="shared" si="3"/>
        <v xml:space="preserve">Perbaikan sesuai standar SPMI dan hasil tinjauan manajemen </v>
      </c>
      <c r="I40" s="43" t="str">
        <f t="shared" si="4"/>
        <v>PERIODE AMI BERIKUTNYA</v>
      </c>
      <c r="J40" s="34" t="str">
        <f t="shared" si="5"/>
        <v>KPS</v>
      </c>
      <c r="K40" s="34" t="str">
        <f t="shared" si="6"/>
        <v>Monev Prodi</v>
      </c>
      <c r="L40" s="32"/>
      <c r="M40" s="34">
        <f>'Hasil AMI  Tindak lanjut'!G46</f>
        <v>0</v>
      </c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spans="1:26" ht="137.25" hidden="1" customHeight="1">
      <c r="A41" s="32">
        <f>'Hasil AMI  Tindak lanjut'!A47</f>
        <v>0</v>
      </c>
      <c r="B41" s="33">
        <f>'Instrumen Audit SPMI 2021'!B41</f>
        <v>0</v>
      </c>
      <c r="C41" s="43">
        <f>'Hasil AMI  Tindak lanjut'!D47</f>
        <v>0</v>
      </c>
      <c r="D41" s="33">
        <f>'Hasil AMI  Tindak lanjut'!D47</f>
        <v>0</v>
      </c>
      <c r="E41" s="34" t="str">
        <f t="shared" si="0"/>
        <v>TIDAK SESUAI SPMI</v>
      </c>
      <c r="F41" s="32" t="str">
        <f t="shared" si="1"/>
        <v>Tidak Tercapai</v>
      </c>
      <c r="G41" s="32" t="str">
        <f t="shared" si="2"/>
        <v>SETUJU</v>
      </c>
      <c r="H41" s="43" t="str">
        <f t="shared" si="3"/>
        <v xml:space="preserve">Perbaikan sesuai standar SPMI dan hasil tinjauan manajemen </v>
      </c>
      <c r="I41" s="43" t="str">
        <f t="shared" si="4"/>
        <v>PERIODE AMI BERIKUTNYA</v>
      </c>
      <c r="J41" s="34" t="str">
        <f t="shared" si="5"/>
        <v>KPS</v>
      </c>
      <c r="K41" s="34" t="str">
        <f t="shared" si="6"/>
        <v>Monev Prodi</v>
      </c>
      <c r="L41" s="32"/>
      <c r="M41" s="34">
        <f>'Hasil AMI  Tindak lanjut'!G47</f>
        <v>0</v>
      </c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spans="1:26" ht="137.25" hidden="1" customHeight="1">
      <c r="A42" s="32">
        <f>'Hasil AMI  Tindak lanjut'!A48</f>
        <v>0</v>
      </c>
      <c r="B42" s="33">
        <f>'Instrumen Audit SPMI 2021'!B42</f>
        <v>0</v>
      </c>
      <c r="C42" s="43">
        <f>'Hasil AMI  Tindak lanjut'!D48</f>
        <v>0</v>
      </c>
      <c r="D42" s="33">
        <f>'Hasil AMI  Tindak lanjut'!D48</f>
        <v>0</v>
      </c>
      <c r="E42" s="34" t="str">
        <f t="shared" si="0"/>
        <v>TIDAK SESUAI SPMI</v>
      </c>
      <c r="F42" s="32" t="str">
        <f t="shared" si="1"/>
        <v>Tidak Tercapai</v>
      </c>
      <c r="G42" s="32" t="str">
        <f t="shared" si="2"/>
        <v>SETUJU</v>
      </c>
      <c r="H42" s="43" t="str">
        <f t="shared" si="3"/>
        <v xml:space="preserve">Perbaikan sesuai standar SPMI dan hasil tinjauan manajemen </v>
      </c>
      <c r="I42" s="43" t="str">
        <f t="shared" si="4"/>
        <v>PERIODE AMI BERIKUTNYA</v>
      </c>
      <c r="J42" s="34" t="str">
        <f t="shared" si="5"/>
        <v>KPS</v>
      </c>
      <c r="K42" s="34" t="str">
        <f t="shared" si="6"/>
        <v>Monev Prodi</v>
      </c>
      <c r="L42" s="32"/>
      <c r="M42" s="34">
        <f>'Hasil AMI  Tindak lanjut'!G48</f>
        <v>0</v>
      </c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spans="1:26" ht="137.25" hidden="1" customHeight="1">
      <c r="A43" s="32">
        <f>'Hasil AMI  Tindak lanjut'!A49</f>
        <v>0</v>
      </c>
      <c r="B43" s="33">
        <f>'Instrumen Audit SPMI 2021'!B43</f>
        <v>0</v>
      </c>
      <c r="C43" s="43">
        <f>'Hasil AMI  Tindak lanjut'!D49</f>
        <v>0</v>
      </c>
      <c r="D43" s="33">
        <f>'Hasil AMI  Tindak lanjut'!D49</f>
        <v>0</v>
      </c>
      <c r="E43" s="34" t="str">
        <f t="shared" si="0"/>
        <v>TIDAK SESUAI SPMI</v>
      </c>
      <c r="F43" s="32" t="str">
        <f t="shared" si="1"/>
        <v>Tidak Tercapai</v>
      </c>
      <c r="G43" s="32" t="str">
        <f t="shared" si="2"/>
        <v>SETUJU</v>
      </c>
      <c r="H43" s="43" t="str">
        <f t="shared" si="3"/>
        <v xml:space="preserve">Perbaikan sesuai standar SPMI dan hasil tinjauan manajemen </v>
      </c>
      <c r="I43" s="43" t="str">
        <f t="shared" si="4"/>
        <v>PERIODE AMI BERIKUTNYA</v>
      </c>
      <c r="J43" s="34" t="str">
        <f t="shared" si="5"/>
        <v>KPS</v>
      </c>
      <c r="K43" s="34" t="str">
        <f t="shared" si="6"/>
        <v>Monev Prodi</v>
      </c>
      <c r="L43" s="32"/>
      <c r="M43" s="34">
        <f>'Hasil AMI  Tindak lanjut'!G49</f>
        <v>0</v>
      </c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spans="1:26" ht="137.25" hidden="1" customHeight="1">
      <c r="A44" s="32">
        <f>'Hasil AMI  Tindak lanjut'!A50</f>
        <v>0</v>
      </c>
      <c r="B44" s="33">
        <f>'Instrumen Audit SPMI 2021'!B44</f>
        <v>0</v>
      </c>
      <c r="C44" s="43">
        <f>'Hasil AMI  Tindak lanjut'!D50</f>
        <v>0</v>
      </c>
      <c r="D44" s="33">
        <f>'Hasil AMI  Tindak lanjut'!D50</f>
        <v>0</v>
      </c>
      <c r="E44" s="34" t="str">
        <f t="shared" si="0"/>
        <v>TIDAK SESUAI SPMI</v>
      </c>
      <c r="F44" s="32" t="str">
        <f t="shared" si="1"/>
        <v>Tidak Tercapai</v>
      </c>
      <c r="G44" s="32" t="str">
        <f t="shared" si="2"/>
        <v>SETUJU</v>
      </c>
      <c r="H44" s="43" t="str">
        <f t="shared" si="3"/>
        <v xml:space="preserve">Perbaikan sesuai standar SPMI dan hasil tinjauan manajemen </v>
      </c>
      <c r="I44" s="43" t="str">
        <f t="shared" si="4"/>
        <v>PERIODE AMI BERIKUTNYA</v>
      </c>
      <c r="J44" s="34" t="str">
        <f t="shared" si="5"/>
        <v>KPS</v>
      </c>
      <c r="K44" s="34" t="str">
        <f t="shared" si="6"/>
        <v>Monev Prodi</v>
      </c>
      <c r="L44" s="32"/>
      <c r="M44" s="34">
        <f>'Hasil AMI  Tindak lanjut'!G50</f>
        <v>0</v>
      </c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spans="1:26" ht="137.25" hidden="1" customHeight="1">
      <c r="A45" s="32">
        <f>'Hasil AMI  Tindak lanjut'!A51</f>
        <v>0</v>
      </c>
      <c r="B45" s="33">
        <f>'Instrumen Audit SPMI 2021'!B45</f>
        <v>0</v>
      </c>
      <c r="C45" s="43">
        <f>'Hasil AMI  Tindak lanjut'!D51</f>
        <v>0</v>
      </c>
      <c r="D45" s="33">
        <f>'Hasil AMI  Tindak lanjut'!D51</f>
        <v>0</v>
      </c>
      <c r="E45" s="34" t="str">
        <f t="shared" si="0"/>
        <v>TIDAK SESUAI SPMI</v>
      </c>
      <c r="F45" s="32" t="str">
        <f t="shared" si="1"/>
        <v>Tidak Tercapai</v>
      </c>
      <c r="G45" s="32" t="str">
        <f t="shared" si="2"/>
        <v>SETUJU</v>
      </c>
      <c r="H45" s="43" t="str">
        <f t="shared" si="3"/>
        <v xml:space="preserve">Perbaikan sesuai standar SPMI dan hasil tinjauan manajemen </v>
      </c>
      <c r="I45" s="43" t="str">
        <f t="shared" si="4"/>
        <v>PERIODE AMI BERIKUTNYA</v>
      </c>
      <c r="J45" s="34" t="str">
        <f t="shared" si="5"/>
        <v>KPS</v>
      </c>
      <c r="K45" s="34" t="str">
        <f t="shared" si="6"/>
        <v>Monev Prodi</v>
      </c>
      <c r="L45" s="32"/>
      <c r="M45" s="34">
        <f>'Hasil AMI  Tindak lanjut'!G51</f>
        <v>0</v>
      </c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spans="1:26" ht="137.25" hidden="1" customHeight="1">
      <c r="A46" s="32">
        <f>'Hasil AMI  Tindak lanjut'!A52</f>
        <v>0</v>
      </c>
      <c r="B46" s="33">
        <f>'Instrumen Audit SPMI 2021'!B46</f>
        <v>0</v>
      </c>
      <c r="C46" s="43">
        <f>'Hasil AMI  Tindak lanjut'!D52</f>
        <v>0</v>
      </c>
      <c r="D46" s="33">
        <f>'Hasil AMI  Tindak lanjut'!D52</f>
        <v>0</v>
      </c>
      <c r="E46" s="34" t="str">
        <f t="shared" si="0"/>
        <v>TIDAK SESUAI SPMI</v>
      </c>
      <c r="F46" s="32" t="str">
        <f t="shared" si="1"/>
        <v>Tidak Tercapai</v>
      </c>
      <c r="G46" s="32" t="str">
        <f t="shared" si="2"/>
        <v>SETUJU</v>
      </c>
      <c r="H46" s="43" t="str">
        <f t="shared" si="3"/>
        <v xml:space="preserve">Perbaikan sesuai standar SPMI dan hasil tinjauan manajemen </v>
      </c>
      <c r="I46" s="43" t="str">
        <f t="shared" si="4"/>
        <v>PERIODE AMI BERIKUTNYA</v>
      </c>
      <c r="J46" s="34" t="str">
        <f t="shared" si="5"/>
        <v>KPS</v>
      </c>
      <c r="K46" s="34" t="str">
        <f t="shared" si="6"/>
        <v>Monev Prodi</v>
      </c>
      <c r="L46" s="32"/>
      <c r="M46" s="34">
        <f>'Hasil AMI  Tindak lanjut'!G52</f>
        <v>0</v>
      </c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spans="1:26" ht="137.25" hidden="1" customHeight="1">
      <c r="A47" s="32">
        <f>'Hasil AMI  Tindak lanjut'!A53</f>
        <v>0</v>
      </c>
      <c r="B47" s="33">
        <f>'Instrumen Audit SPMI 2021'!B47</f>
        <v>0</v>
      </c>
      <c r="C47" s="43">
        <f>'Hasil AMI  Tindak lanjut'!D53</f>
        <v>0</v>
      </c>
      <c r="D47" s="33">
        <f>'Hasil AMI  Tindak lanjut'!D53</f>
        <v>0</v>
      </c>
      <c r="E47" s="34" t="str">
        <f t="shared" si="0"/>
        <v>TIDAK SESUAI SPMI</v>
      </c>
      <c r="F47" s="32" t="str">
        <f t="shared" si="1"/>
        <v>Tidak Tercapai</v>
      </c>
      <c r="G47" s="32" t="str">
        <f t="shared" si="2"/>
        <v>SETUJU</v>
      </c>
      <c r="H47" s="43" t="str">
        <f t="shared" si="3"/>
        <v xml:space="preserve">Perbaikan sesuai standar SPMI dan hasil tinjauan manajemen </v>
      </c>
      <c r="I47" s="43" t="str">
        <f t="shared" si="4"/>
        <v>PERIODE AMI BERIKUTNYA</v>
      </c>
      <c r="J47" s="34" t="str">
        <f t="shared" si="5"/>
        <v>KPS</v>
      </c>
      <c r="K47" s="34" t="str">
        <f t="shared" si="6"/>
        <v>Monev Prodi</v>
      </c>
      <c r="L47" s="32"/>
      <c r="M47" s="34">
        <f>'Hasil AMI  Tindak lanjut'!G53</f>
        <v>0</v>
      </c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spans="1:26" ht="137.25" hidden="1" customHeight="1">
      <c r="A48" s="32">
        <f>'Hasil AMI  Tindak lanjut'!A54</f>
        <v>0</v>
      </c>
      <c r="B48" s="33">
        <f>'Instrumen Audit SPMI 2021'!B48</f>
        <v>0</v>
      </c>
      <c r="C48" s="43">
        <f>'Hasil AMI  Tindak lanjut'!D54</f>
        <v>0</v>
      </c>
      <c r="D48" s="33">
        <f>'Hasil AMI  Tindak lanjut'!D54</f>
        <v>0</v>
      </c>
      <c r="E48" s="34" t="str">
        <f t="shared" si="0"/>
        <v>TIDAK SESUAI SPMI</v>
      </c>
      <c r="F48" s="32" t="str">
        <f t="shared" si="1"/>
        <v>Tidak Tercapai</v>
      </c>
      <c r="G48" s="32" t="str">
        <f t="shared" si="2"/>
        <v>SETUJU</v>
      </c>
      <c r="H48" s="43" t="str">
        <f t="shared" si="3"/>
        <v xml:space="preserve">Perbaikan sesuai standar SPMI dan hasil tinjauan manajemen </v>
      </c>
      <c r="I48" s="43" t="str">
        <f t="shared" si="4"/>
        <v>PERIODE AMI BERIKUTNYA</v>
      </c>
      <c r="J48" s="34" t="str">
        <f t="shared" si="5"/>
        <v>KPS</v>
      </c>
      <c r="K48" s="34" t="str">
        <f t="shared" si="6"/>
        <v>Monev Prodi</v>
      </c>
      <c r="L48" s="32"/>
      <c r="M48" s="34">
        <f>'Hasil AMI  Tindak lanjut'!G54</f>
        <v>0</v>
      </c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spans="1:26" ht="137.25" hidden="1" customHeight="1">
      <c r="A49" s="32">
        <f>'Hasil AMI  Tindak lanjut'!A55</f>
        <v>0</v>
      </c>
      <c r="B49" s="33">
        <f>'Instrumen Audit SPMI 2021'!B49</f>
        <v>0</v>
      </c>
      <c r="C49" s="43">
        <f>'Hasil AMI  Tindak lanjut'!D55</f>
        <v>0</v>
      </c>
      <c r="D49" s="33">
        <f>'Hasil AMI  Tindak lanjut'!D55</f>
        <v>0</v>
      </c>
      <c r="E49" s="34" t="str">
        <f t="shared" si="0"/>
        <v>TIDAK SESUAI SPMI</v>
      </c>
      <c r="F49" s="32" t="str">
        <f t="shared" si="1"/>
        <v>Tidak Tercapai</v>
      </c>
      <c r="G49" s="32" t="str">
        <f t="shared" si="2"/>
        <v>SETUJU</v>
      </c>
      <c r="H49" s="43" t="str">
        <f t="shared" si="3"/>
        <v xml:space="preserve">Perbaikan sesuai standar SPMI dan hasil tinjauan manajemen </v>
      </c>
      <c r="I49" s="43" t="str">
        <f t="shared" si="4"/>
        <v>PERIODE AMI BERIKUTNYA</v>
      </c>
      <c r="J49" s="34" t="str">
        <f t="shared" si="5"/>
        <v>KPS</v>
      </c>
      <c r="K49" s="34" t="str">
        <f t="shared" si="6"/>
        <v>Monev Prodi</v>
      </c>
      <c r="L49" s="32"/>
      <c r="M49" s="34">
        <f>'Hasil AMI  Tindak lanjut'!G55</f>
        <v>0</v>
      </c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spans="1:26" ht="137.25" hidden="1" customHeight="1">
      <c r="A50" s="32">
        <f>'Hasil AMI  Tindak lanjut'!A56</f>
        <v>0</v>
      </c>
      <c r="B50" s="33">
        <f>'Instrumen Audit SPMI 2021'!B50</f>
        <v>0</v>
      </c>
      <c r="C50" s="43">
        <f>'Hasil AMI  Tindak lanjut'!D56</f>
        <v>0</v>
      </c>
      <c r="D50" s="33">
        <f>'Hasil AMI  Tindak lanjut'!D56</f>
        <v>0</v>
      </c>
      <c r="E50" s="34" t="str">
        <f t="shared" si="0"/>
        <v>TIDAK SESUAI SPMI</v>
      </c>
      <c r="F50" s="32" t="str">
        <f t="shared" si="1"/>
        <v>Tidak Tercapai</v>
      </c>
      <c r="G50" s="32" t="str">
        <f t="shared" si="2"/>
        <v>SETUJU</v>
      </c>
      <c r="H50" s="43" t="str">
        <f t="shared" si="3"/>
        <v xml:space="preserve">Perbaikan sesuai standar SPMI dan hasil tinjauan manajemen </v>
      </c>
      <c r="I50" s="43" t="str">
        <f t="shared" si="4"/>
        <v>PERIODE AMI BERIKUTNYA</v>
      </c>
      <c r="J50" s="34" t="str">
        <f t="shared" si="5"/>
        <v>KPS</v>
      </c>
      <c r="K50" s="34" t="str">
        <f t="shared" si="6"/>
        <v>Monev Prodi</v>
      </c>
      <c r="L50" s="32"/>
      <c r="M50" s="34">
        <f>'Hasil AMI  Tindak lanjut'!G56</f>
        <v>0</v>
      </c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spans="1:26" ht="137.25" hidden="1" customHeight="1">
      <c r="A51" s="32">
        <f>'Hasil AMI  Tindak lanjut'!A57</f>
        <v>0</v>
      </c>
      <c r="B51" s="33">
        <f>'Instrumen Audit SPMI 2021'!B51</f>
        <v>0</v>
      </c>
      <c r="C51" s="43">
        <f>'Hasil AMI  Tindak lanjut'!D57</f>
        <v>0</v>
      </c>
      <c r="D51" s="33">
        <f>'Hasil AMI  Tindak lanjut'!D57</f>
        <v>0</v>
      </c>
      <c r="E51" s="34" t="str">
        <f t="shared" si="0"/>
        <v>TIDAK SESUAI SPMI</v>
      </c>
      <c r="F51" s="32" t="str">
        <f t="shared" si="1"/>
        <v>Tidak Tercapai</v>
      </c>
      <c r="G51" s="32" t="str">
        <f t="shared" si="2"/>
        <v>SETUJU</v>
      </c>
      <c r="H51" s="43" t="str">
        <f t="shared" si="3"/>
        <v xml:space="preserve">Perbaikan sesuai standar SPMI dan hasil tinjauan manajemen </v>
      </c>
      <c r="I51" s="43" t="str">
        <f t="shared" si="4"/>
        <v>PERIODE AMI BERIKUTNYA</v>
      </c>
      <c r="J51" s="34" t="str">
        <f t="shared" si="5"/>
        <v>KPS</v>
      </c>
      <c r="K51" s="34" t="str">
        <f t="shared" si="6"/>
        <v>Monev Prodi</v>
      </c>
      <c r="L51" s="32"/>
      <c r="M51" s="34">
        <f>'Hasil AMI  Tindak lanjut'!G57</f>
        <v>0</v>
      </c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spans="1:26" ht="137.25" hidden="1" customHeight="1">
      <c r="A52" s="32">
        <f>'Hasil AMI  Tindak lanjut'!A58</f>
        <v>0</v>
      </c>
      <c r="B52" s="33">
        <f>'Instrumen Audit SPMI 2021'!B52</f>
        <v>0</v>
      </c>
      <c r="C52" s="43">
        <f>'Hasil AMI  Tindak lanjut'!D58</f>
        <v>0</v>
      </c>
      <c r="D52" s="33">
        <f>'Hasil AMI  Tindak lanjut'!D58</f>
        <v>0</v>
      </c>
      <c r="E52" s="34" t="str">
        <f t="shared" si="0"/>
        <v>TIDAK SESUAI SPMI</v>
      </c>
      <c r="F52" s="32" t="str">
        <f t="shared" si="1"/>
        <v>Tidak Tercapai</v>
      </c>
      <c r="G52" s="32" t="str">
        <f t="shared" si="2"/>
        <v>SETUJU</v>
      </c>
      <c r="H52" s="43" t="str">
        <f t="shared" si="3"/>
        <v xml:space="preserve">Perbaikan sesuai standar SPMI dan hasil tinjauan manajemen </v>
      </c>
      <c r="I52" s="43" t="str">
        <f t="shared" si="4"/>
        <v>PERIODE AMI BERIKUTNYA</v>
      </c>
      <c r="J52" s="34" t="str">
        <f t="shared" si="5"/>
        <v>KPS</v>
      </c>
      <c r="K52" s="34" t="str">
        <f t="shared" si="6"/>
        <v>Monev Prodi</v>
      </c>
      <c r="L52" s="32"/>
      <c r="M52" s="34">
        <f>'Hasil AMI  Tindak lanjut'!G58</f>
        <v>0</v>
      </c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spans="1:26" ht="137.25" hidden="1" customHeight="1">
      <c r="A53" s="32">
        <f>'Hasil AMI  Tindak lanjut'!A59</f>
        <v>0</v>
      </c>
      <c r="B53" s="33">
        <f>'Instrumen Audit SPMI 2021'!B53</f>
        <v>0</v>
      </c>
      <c r="C53" s="43">
        <f>'Hasil AMI  Tindak lanjut'!D59</f>
        <v>0</v>
      </c>
      <c r="D53" s="33">
        <f>'Hasil AMI  Tindak lanjut'!D59</f>
        <v>0</v>
      </c>
      <c r="E53" s="34" t="str">
        <f t="shared" si="0"/>
        <v>TIDAK SESUAI SPMI</v>
      </c>
      <c r="F53" s="32" t="str">
        <f t="shared" si="1"/>
        <v>Tidak Tercapai</v>
      </c>
      <c r="G53" s="32" t="str">
        <f t="shared" si="2"/>
        <v>SETUJU</v>
      </c>
      <c r="H53" s="43" t="str">
        <f t="shared" si="3"/>
        <v xml:space="preserve">Perbaikan sesuai standar SPMI dan hasil tinjauan manajemen </v>
      </c>
      <c r="I53" s="43" t="str">
        <f t="shared" si="4"/>
        <v>PERIODE AMI BERIKUTNYA</v>
      </c>
      <c r="J53" s="34" t="str">
        <f t="shared" si="5"/>
        <v>KPS</v>
      </c>
      <c r="K53" s="34" t="str">
        <f t="shared" si="6"/>
        <v>Monev Prodi</v>
      </c>
      <c r="L53" s="32"/>
      <c r="M53" s="34">
        <f>'Hasil AMI  Tindak lanjut'!G59</f>
        <v>0</v>
      </c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spans="1:26" ht="137.25" hidden="1" customHeight="1">
      <c r="A54" s="32">
        <f>'Hasil AMI  Tindak lanjut'!A60</f>
        <v>0</v>
      </c>
      <c r="B54" s="33">
        <f>'Instrumen Audit SPMI 2021'!B54</f>
        <v>0</v>
      </c>
      <c r="C54" s="43">
        <f>'Hasil AMI  Tindak lanjut'!D60</f>
        <v>0</v>
      </c>
      <c r="D54" s="33">
        <f>'Hasil AMI  Tindak lanjut'!D60</f>
        <v>0</v>
      </c>
      <c r="E54" s="34" t="str">
        <f t="shared" si="0"/>
        <v>TIDAK SESUAI SPMI</v>
      </c>
      <c r="F54" s="32" t="str">
        <f t="shared" si="1"/>
        <v>Tidak Tercapai</v>
      </c>
      <c r="G54" s="32" t="str">
        <f t="shared" si="2"/>
        <v>SETUJU</v>
      </c>
      <c r="H54" s="43" t="str">
        <f t="shared" si="3"/>
        <v xml:space="preserve">Perbaikan sesuai standar SPMI dan hasil tinjauan manajemen </v>
      </c>
      <c r="I54" s="43" t="str">
        <f t="shared" si="4"/>
        <v>PERIODE AMI BERIKUTNYA</v>
      </c>
      <c r="J54" s="34" t="str">
        <f t="shared" si="5"/>
        <v>KPS</v>
      </c>
      <c r="K54" s="34" t="str">
        <f t="shared" si="6"/>
        <v>Monev Prodi</v>
      </c>
      <c r="L54" s="32"/>
      <c r="M54" s="34">
        <f>'Hasil AMI  Tindak lanjut'!G60</f>
        <v>0</v>
      </c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spans="1:26" ht="137.25" hidden="1" customHeight="1">
      <c r="A55" s="32">
        <f>'Hasil AMI  Tindak lanjut'!A61</f>
        <v>0</v>
      </c>
      <c r="B55" s="33">
        <f>'Instrumen Audit SPMI 2021'!B55</f>
        <v>0</v>
      </c>
      <c r="C55" s="43">
        <f>'Hasil AMI  Tindak lanjut'!D61</f>
        <v>0</v>
      </c>
      <c r="D55" s="33">
        <f>'Hasil AMI  Tindak lanjut'!D61</f>
        <v>0</v>
      </c>
      <c r="E55" s="34" t="str">
        <f t="shared" si="0"/>
        <v>TIDAK SESUAI SPMI</v>
      </c>
      <c r="F55" s="32" t="str">
        <f t="shared" si="1"/>
        <v>Tidak Tercapai</v>
      </c>
      <c r="G55" s="32" t="str">
        <f t="shared" si="2"/>
        <v>SETUJU</v>
      </c>
      <c r="H55" s="43" t="str">
        <f t="shared" si="3"/>
        <v xml:space="preserve">Perbaikan sesuai standar SPMI dan hasil tinjauan manajemen </v>
      </c>
      <c r="I55" s="43" t="str">
        <f t="shared" si="4"/>
        <v>PERIODE AMI BERIKUTNYA</v>
      </c>
      <c r="J55" s="34" t="str">
        <f t="shared" si="5"/>
        <v>KPS</v>
      </c>
      <c r="K55" s="34" t="str">
        <f t="shared" si="6"/>
        <v>Monev Prodi</v>
      </c>
      <c r="L55" s="32"/>
      <c r="M55" s="34">
        <f>'Hasil AMI  Tindak lanjut'!G61</f>
        <v>0</v>
      </c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spans="1:26" ht="137.25" hidden="1" customHeight="1">
      <c r="A56" s="32">
        <f>'Hasil AMI  Tindak lanjut'!A62</f>
        <v>0</v>
      </c>
      <c r="B56" s="33">
        <f>'Instrumen Audit SPMI 2021'!B56</f>
        <v>0</v>
      </c>
      <c r="C56" s="43">
        <f>'Hasil AMI  Tindak lanjut'!D62</f>
        <v>0</v>
      </c>
      <c r="D56" s="33">
        <f>'Hasil AMI  Tindak lanjut'!D62</f>
        <v>0</v>
      </c>
      <c r="E56" s="34" t="str">
        <f t="shared" si="0"/>
        <v>TIDAK SESUAI SPMI</v>
      </c>
      <c r="F56" s="32" t="str">
        <f t="shared" si="1"/>
        <v>Tidak Tercapai</v>
      </c>
      <c r="G56" s="32" t="str">
        <f t="shared" si="2"/>
        <v>SETUJU</v>
      </c>
      <c r="H56" s="43" t="str">
        <f t="shared" si="3"/>
        <v xml:space="preserve">Perbaikan sesuai standar SPMI dan hasil tinjauan manajemen </v>
      </c>
      <c r="I56" s="43" t="str">
        <f t="shared" si="4"/>
        <v>PERIODE AMI BERIKUTNYA</v>
      </c>
      <c r="J56" s="34" t="str">
        <f t="shared" si="5"/>
        <v>KPS</v>
      </c>
      <c r="K56" s="34" t="str">
        <f t="shared" si="6"/>
        <v>Monev Prodi</v>
      </c>
      <c r="L56" s="32"/>
      <c r="M56" s="34">
        <f>'Hasil AMI  Tindak lanjut'!G62</f>
        <v>0</v>
      </c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spans="1:26" ht="137.25" hidden="1" customHeight="1">
      <c r="A57" s="32">
        <f>'Hasil AMI  Tindak lanjut'!A63</f>
        <v>0</v>
      </c>
      <c r="B57" s="33">
        <f>'Instrumen Audit SPMI 2021'!B57</f>
        <v>0</v>
      </c>
      <c r="C57" s="43">
        <f>'Hasil AMI  Tindak lanjut'!D63</f>
        <v>0</v>
      </c>
      <c r="D57" s="33">
        <f>'Hasil AMI  Tindak lanjut'!D63</f>
        <v>0</v>
      </c>
      <c r="E57" s="34" t="str">
        <f t="shared" si="0"/>
        <v>TIDAK SESUAI SPMI</v>
      </c>
      <c r="F57" s="32" t="str">
        <f t="shared" si="1"/>
        <v>Tidak Tercapai</v>
      </c>
      <c r="G57" s="32" t="str">
        <f t="shared" si="2"/>
        <v>SETUJU</v>
      </c>
      <c r="H57" s="43" t="str">
        <f t="shared" si="3"/>
        <v xml:space="preserve">Perbaikan sesuai standar SPMI dan hasil tinjauan manajemen </v>
      </c>
      <c r="I57" s="43" t="str">
        <f t="shared" si="4"/>
        <v>PERIODE AMI BERIKUTNYA</v>
      </c>
      <c r="J57" s="34" t="str">
        <f t="shared" si="5"/>
        <v>KPS</v>
      </c>
      <c r="K57" s="34" t="str">
        <f t="shared" si="6"/>
        <v>Monev Prodi</v>
      </c>
      <c r="L57" s="32"/>
      <c r="M57" s="34">
        <f>'Hasil AMI  Tindak lanjut'!G63</f>
        <v>0</v>
      </c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spans="1:26" ht="137.25" hidden="1" customHeight="1">
      <c r="A58" s="32">
        <f>'Hasil AMI  Tindak lanjut'!A64</f>
        <v>0</v>
      </c>
      <c r="B58" s="33">
        <f>'Instrumen Audit SPMI 2021'!B58</f>
        <v>0</v>
      </c>
      <c r="C58" s="43">
        <f>'Hasil AMI  Tindak lanjut'!D64</f>
        <v>0</v>
      </c>
      <c r="D58" s="33">
        <f>'Hasil AMI  Tindak lanjut'!D64</f>
        <v>0</v>
      </c>
      <c r="E58" s="34" t="str">
        <f t="shared" si="0"/>
        <v>TIDAK SESUAI SPMI</v>
      </c>
      <c r="F58" s="32" t="str">
        <f t="shared" si="1"/>
        <v>Tidak Tercapai</v>
      </c>
      <c r="G58" s="32" t="str">
        <f t="shared" si="2"/>
        <v>SETUJU</v>
      </c>
      <c r="H58" s="43" t="str">
        <f t="shared" si="3"/>
        <v xml:space="preserve">Perbaikan sesuai standar SPMI dan hasil tinjauan manajemen </v>
      </c>
      <c r="I58" s="43" t="str">
        <f t="shared" si="4"/>
        <v>PERIODE AMI BERIKUTNYA</v>
      </c>
      <c r="J58" s="34" t="str">
        <f t="shared" si="5"/>
        <v>KPS</v>
      </c>
      <c r="K58" s="34" t="str">
        <f t="shared" si="6"/>
        <v>Monev Prodi</v>
      </c>
      <c r="L58" s="32"/>
      <c r="M58" s="34">
        <f>'Hasil AMI  Tindak lanjut'!G64</f>
        <v>0</v>
      </c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spans="1:26" ht="137.25" hidden="1" customHeight="1">
      <c r="A59" s="32">
        <f>'Hasil AMI  Tindak lanjut'!A65</f>
        <v>0</v>
      </c>
      <c r="B59" s="33">
        <f>'Instrumen Audit SPMI 2021'!B59</f>
        <v>0</v>
      </c>
      <c r="C59" s="43">
        <f>'Hasil AMI  Tindak lanjut'!D65</f>
        <v>0</v>
      </c>
      <c r="D59" s="33">
        <f>'Hasil AMI  Tindak lanjut'!D65</f>
        <v>0</v>
      </c>
      <c r="E59" s="34" t="str">
        <f t="shared" si="0"/>
        <v>TIDAK SESUAI SPMI</v>
      </c>
      <c r="F59" s="32" t="str">
        <f t="shared" si="1"/>
        <v>Tidak Tercapai</v>
      </c>
      <c r="G59" s="32" t="str">
        <f t="shared" si="2"/>
        <v>SETUJU</v>
      </c>
      <c r="H59" s="43" t="str">
        <f t="shared" si="3"/>
        <v xml:space="preserve">Perbaikan sesuai standar SPMI dan hasil tinjauan manajemen </v>
      </c>
      <c r="I59" s="43" t="str">
        <f t="shared" si="4"/>
        <v>PERIODE AMI BERIKUTNYA</v>
      </c>
      <c r="J59" s="34" t="str">
        <f t="shared" si="5"/>
        <v>KPS</v>
      </c>
      <c r="K59" s="34" t="str">
        <f t="shared" si="6"/>
        <v>Monev Prodi</v>
      </c>
      <c r="L59" s="32"/>
      <c r="M59" s="34">
        <f>'Hasil AMI  Tindak lanjut'!G65</f>
        <v>0</v>
      </c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spans="1:26" ht="137.25" hidden="1" customHeight="1">
      <c r="A60" s="32">
        <f>'Hasil AMI  Tindak lanjut'!A66</f>
        <v>0</v>
      </c>
      <c r="B60" s="33">
        <f>'Instrumen Audit SPMI 2021'!B60</f>
        <v>0</v>
      </c>
      <c r="C60" s="43">
        <f>'Hasil AMI  Tindak lanjut'!D66</f>
        <v>0</v>
      </c>
      <c r="D60" s="33">
        <f>'Hasil AMI  Tindak lanjut'!D66</f>
        <v>0</v>
      </c>
      <c r="E60" s="34" t="str">
        <f t="shared" si="0"/>
        <v>TIDAK SESUAI SPMI</v>
      </c>
      <c r="F60" s="32" t="str">
        <f t="shared" si="1"/>
        <v>Tidak Tercapai</v>
      </c>
      <c r="G60" s="32" t="str">
        <f t="shared" si="2"/>
        <v>SETUJU</v>
      </c>
      <c r="H60" s="43" t="str">
        <f t="shared" si="3"/>
        <v xml:space="preserve">Perbaikan sesuai standar SPMI dan hasil tinjauan manajemen </v>
      </c>
      <c r="I60" s="43" t="str">
        <f t="shared" si="4"/>
        <v>PERIODE AMI BERIKUTNYA</v>
      </c>
      <c r="J60" s="34" t="str">
        <f t="shared" si="5"/>
        <v>KPS</v>
      </c>
      <c r="K60" s="34" t="str">
        <f t="shared" si="6"/>
        <v>Monev Prodi</v>
      </c>
      <c r="L60" s="32"/>
      <c r="M60" s="34">
        <f>'Hasil AMI  Tindak lanjut'!G66</f>
        <v>0</v>
      </c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spans="1:26" ht="137.25" hidden="1" customHeight="1">
      <c r="A61" s="32">
        <f>'Hasil AMI  Tindak lanjut'!A67</f>
        <v>0</v>
      </c>
      <c r="B61" s="33">
        <f>'Instrumen Audit SPMI 2021'!B61</f>
        <v>0</v>
      </c>
      <c r="C61" s="43">
        <f>'Hasil AMI  Tindak lanjut'!D67</f>
        <v>0</v>
      </c>
      <c r="D61" s="33">
        <f>'Hasil AMI  Tindak lanjut'!D67</f>
        <v>0</v>
      </c>
      <c r="E61" s="34" t="str">
        <f t="shared" si="0"/>
        <v>TIDAK SESUAI SPMI</v>
      </c>
      <c r="F61" s="32" t="str">
        <f t="shared" si="1"/>
        <v>Tidak Tercapai</v>
      </c>
      <c r="G61" s="32" t="str">
        <f t="shared" si="2"/>
        <v>SETUJU</v>
      </c>
      <c r="H61" s="43" t="str">
        <f t="shared" si="3"/>
        <v xml:space="preserve">Perbaikan sesuai standar SPMI dan hasil tinjauan manajemen </v>
      </c>
      <c r="I61" s="43" t="str">
        <f t="shared" si="4"/>
        <v>PERIODE AMI BERIKUTNYA</v>
      </c>
      <c r="J61" s="34" t="str">
        <f t="shared" si="5"/>
        <v>KPS</v>
      </c>
      <c r="K61" s="34" t="str">
        <f t="shared" si="6"/>
        <v>Monev Prodi</v>
      </c>
      <c r="L61" s="32"/>
      <c r="M61" s="34">
        <f>'Hasil AMI  Tindak lanjut'!G67</f>
        <v>0</v>
      </c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spans="1:26" ht="137.25" hidden="1" customHeight="1">
      <c r="A62" s="32">
        <f>'Hasil AMI  Tindak lanjut'!A68</f>
        <v>0</v>
      </c>
      <c r="B62" s="33">
        <f>'Instrumen Audit SPMI 2021'!B62</f>
        <v>0</v>
      </c>
      <c r="C62" s="43">
        <f>'Hasil AMI  Tindak lanjut'!D68</f>
        <v>0</v>
      </c>
      <c r="D62" s="33">
        <f>'Hasil AMI  Tindak lanjut'!D68</f>
        <v>0</v>
      </c>
      <c r="E62" s="34" t="str">
        <f t="shared" si="0"/>
        <v>TIDAK SESUAI SPMI</v>
      </c>
      <c r="F62" s="32" t="str">
        <f t="shared" si="1"/>
        <v>Tidak Tercapai</v>
      </c>
      <c r="G62" s="32" t="str">
        <f t="shared" si="2"/>
        <v>SETUJU</v>
      </c>
      <c r="H62" s="43" t="str">
        <f t="shared" si="3"/>
        <v xml:space="preserve">Perbaikan sesuai standar SPMI dan hasil tinjauan manajemen </v>
      </c>
      <c r="I62" s="43" t="str">
        <f t="shared" si="4"/>
        <v>PERIODE AMI BERIKUTNYA</v>
      </c>
      <c r="J62" s="34" t="str">
        <f t="shared" si="5"/>
        <v>KPS</v>
      </c>
      <c r="K62" s="34" t="str">
        <f t="shared" si="6"/>
        <v>Monev Prodi</v>
      </c>
      <c r="L62" s="32"/>
      <c r="M62" s="34">
        <f>'Hasil AMI  Tindak lanjut'!G68</f>
        <v>0</v>
      </c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spans="1:26" ht="137.25" hidden="1" customHeight="1">
      <c r="A63" s="32">
        <f>'Hasil AMI  Tindak lanjut'!A69</f>
        <v>0</v>
      </c>
      <c r="B63" s="33">
        <f>'Instrumen Audit SPMI 2021'!B63</f>
        <v>0</v>
      </c>
      <c r="C63" s="43">
        <f>'Hasil AMI  Tindak lanjut'!D69</f>
        <v>0</v>
      </c>
      <c r="D63" s="33">
        <f>'Hasil AMI  Tindak lanjut'!D69</f>
        <v>0</v>
      </c>
      <c r="E63" s="34" t="str">
        <f t="shared" si="0"/>
        <v>TIDAK SESUAI SPMI</v>
      </c>
      <c r="F63" s="32" t="str">
        <f t="shared" si="1"/>
        <v>Tidak Tercapai</v>
      </c>
      <c r="G63" s="32" t="str">
        <f t="shared" si="2"/>
        <v>SETUJU</v>
      </c>
      <c r="H63" s="43" t="str">
        <f t="shared" si="3"/>
        <v xml:space="preserve">Perbaikan sesuai standar SPMI dan hasil tinjauan manajemen </v>
      </c>
      <c r="I63" s="43" t="str">
        <f t="shared" si="4"/>
        <v>PERIODE AMI BERIKUTNYA</v>
      </c>
      <c r="J63" s="34" t="str">
        <f t="shared" si="5"/>
        <v>KPS</v>
      </c>
      <c r="K63" s="34" t="str">
        <f t="shared" si="6"/>
        <v>Monev Prodi</v>
      </c>
      <c r="L63" s="32"/>
      <c r="M63" s="34">
        <f>'Hasil AMI  Tindak lanjut'!G69</f>
        <v>0</v>
      </c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spans="1:26" ht="137.25" hidden="1" customHeight="1">
      <c r="A64" s="32">
        <f>'Hasil AMI  Tindak lanjut'!A70</f>
        <v>0</v>
      </c>
      <c r="B64" s="33">
        <f>'Instrumen Audit SPMI 2021'!B64</f>
        <v>0</v>
      </c>
      <c r="C64" s="43">
        <f>'Hasil AMI  Tindak lanjut'!D70</f>
        <v>0</v>
      </c>
      <c r="D64" s="33">
        <f>'Hasil AMI  Tindak lanjut'!D70</f>
        <v>0</v>
      </c>
      <c r="E64" s="34" t="str">
        <f t="shared" si="0"/>
        <v>TIDAK SESUAI SPMI</v>
      </c>
      <c r="F64" s="32" t="str">
        <f t="shared" si="1"/>
        <v>Tidak Tercapai</v>
      </c>
      <c r="G64" s="32" t="str">
        <f t="shared" si="2"/>
        <v>SETUJU</v>
      </c>
      <c r="H64" s="43" t="str">
        <f t="shared" si="3"/>
        <v xml:space="preserve">Perbaikan sesuai standar SPMI dan hasil tinjauan manajemen </v>
      </c>
      <c r="I64" s="43" t="str">
        <f t="shared" si="4"/>
        <v>PERIODE AMI BERIKUTNYA</v>
      </c>
      <c r="J64" s="34" t="str">
        <f t="shared" si="5"/>
        <v>KPS</v>
      </c>
      <c r="K64" s="34" t="str">
        <f t="shared" si="6"/>
        <v>Monev Prodi</v>
      </c>
      <c r="L64" s="32"/>
      <c r="M64" s="34">
        <f>'Hasil AMI  Tindak lanjut'!G70</f>
        <v>0</v>
      </c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spans="1:26" ht="137.25" hidden="1" customHeight="1">
      <c r="A65" s="32">
        <f>'Hasil AMI  Tindak lanjut'!A71</f>
        <v>0</v>
      </c>
      <c r="B65" s="33">
        <f>'Instrumen Audit SPMI 2021'!B65</f>
        <v>0</v>
      </c>
      <c r="C65" s="43">
        <f>'Hasil AMI  Tindak lanjut'!D71</f>
        <v>0</v>
      </c>
      <c r="D65" s="33">
        <f>'Hasil AMI  Tindak lanjut'!D71</f>
        <v>0</v>
      </c>
      <c r="E65" s="34" t="str">
        <f t="shared" si="0"/>
        <v>TIDAK SESUAI SPMI</v>
      </c>
      <c r="F65" s="32" t="str">
        <f t="shared" si="1"/>
        <v>Tidak Tercapai</v>
      </c>
      <c r="G65" s="32" t="str">
        <f t="shared" si="2"/>
        <v>SETUJU</v>
      </c>
      <c r="H65" s="43" t="str">
        <f t="shared" si="3"/>
        <v xml:space="preserve">Perbaikan sesuai standar SPMI dan hasil tinjauan manajemen </v>
      </c>
      <c r="I65" s="43" t="str">
        <f t="shared" si="4"/>
        <v>PERIODE AMI BERIKUTNYA</v>
      </c>
      <c r="J65" s="34" t="str">
        <f t="shared" si="5"/>
        <v>KPS</v>
      </c>
      <c r="K65" s="34" t="str">
        <f t="shared" si="6"/>
        <v>Monev Prodi</v>
      </c>
      <c r="L65" s="32"/>
      <c r="M65" s="34">
        <f>'Hasil AMI  Tindak lanjut'!G71</f>
        <v>0</v>
      </c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spans="1:26" ht="137.25" hidden="1" customHeight="1">
      <c r="A66" s="32">
        <f>'Hasil AMI  Tindak lanjut'!A72</f>
        <v>0</v>
      </c>
      <c r="B66" s="33">
        <f>'Instrumen Audit SPMI 2021'!B66</f>
        <v>0</v>
      </c>
      <c r="C66" s="43">
        <f>'Hasil AMI  Tindak lanjut'!D72</f>
        <v>0</v>
      </c>
      <c r="D66" s="33">
        <f>'Hasil AMI  Tindak lanjut'!D72</f>
        <v>0</v>
      </c>
      <c r="E66" s="34" t="str">
        <f t="shared" si="0"/>
        <v>TIDAK SESUAI SPMI</v>
      </c>
      <c r="F66" s="32" t="str">
        <f t="shared" si="1"/>
        <v>Tidak Tercapai</v>
      </c>
      <c r="G66" s="32" t="str">
        <f t="shared" si="2"/>
        <v>SETUJU</v>
      </c>
      <c r="H66" s="43" t="str">
        <f t="shared" si="3"/>
        <v xml:space="preserve">Perbaikan sesuai standar SPMI dan hasil tinjauan manajemen </v>
      </c>
      <c r="I66" s="43" t="str">
        <f t="shared" si="4"/>
        <v>PERIODE AMI BERIKUTNYA</v>
      </c>
      <c r="J66" s="34" t="str">
        <f t="shared" si="5"/>
        <v>KPS</v>
      </c>
      <c r="K66" s="34" t="str">
        <f t="shared" si="6"/>
        <v>Monev Prodi</v>
      </c>
      <c r="L66" s="32"/>
      <c r="M66" s="34">
        <f>'Hasil AMI  Tindak lanjut'!G72</f>
        <v>0</v>
      </c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spans="1:26" ht="137.25" hidden="1" customHeight="1">
      <c r="A67" s="32">
        <f>'Hasil AMI  Tindak lanjut'!A73</f>
        <v>0</v>
      </c>
      <c r="B67" s="33">
        <f>'Instrumen Audit SPMI 2021'!B67</f>
        <v>0</v>
      </c>
      <c r="C67" s="43">
        <f>'Hasil AMI  Tindak lanjut'!D73</f>
        <v>0</v>
      </c>
      <c r="D67" s="33">
        <f>'Hasil AMI  Tindak lanjut'!D73</f>
        <v>0</v>
      </c>
      <c r="E67" s="34" t="str">
        <f t="shared" si="0"/>
        <v>TIDAK SESUAI SPMI</v>
      </c>
      <c r="F67" s="32" t="str">
        <f t="shared" si="1"/>
        <v>Tidak Tercapai</v>
      </c>
      <c r="G67" s="32" t="str">
        <f t="shared" si="2"/>
        <v>SETUJU</v>
      </c>
      <c r="H67" s="43" t="str">
        <f t="shared" si="3"/>
        <v xml:space="preserve">Perbaikan sesuai standar SPMI dan hasil tinjauan manajemen </v>
      </c>
      <c r="I67" s="43" t="str">
        <f t="shared" si="4"/>
        <v>PERIODE AMI BERIKUTNYA</v>
      </c>
      <c r="J67" s="34" t="str">
        <f t="shared" si="5"/>
        <v>KPS</v>
      </c>
      <c r="K67" s="34" t="str">
        <f t="shared" si="6"/>
        <v>Monev Prodi</v>
      </c>
      <c r="L67" s="32"/>
      <c r="M67" s="34">
        <f>'Hasil AMI  Tindak lanjut'!G73</f>
        <v>0</v>
      </c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spans="1:26" ht="137.25" hidden="1" customHeight="1">
      <c r="A68" s="32">
        <f>'Hasil AMI  Tindak lanjut'!A74</f>
        <v>0</v>
      </c>
      <c r="B68" s="33">
        <f>'Instrumen Audit SPMI 2021'!B68</f>
        <v>0</v>
      </c>
      <c r="C68" s="43">
        <f>'Hasil AMI  Tindak lanjut'!D74</f>
        <v>0</v>
      </c>
      <c r="D68" s="33">
        <f>'Hasil AMI  Tindak lanjut'!D74</f>
        <v>0</v>
      </c>
      <c r="E68" s="34" t="str">
        <f t="shared" si="0"/>
        <v>TIDAK SESUAI SPMI</v>
      </c>
      <c r="F68" s="32" t="str">
        <f t="shared" si="1"/>
        <v>Tidak Tercapai</v>
      </c>
      <c r="G68" s="32" t="str">
        <f t="shared" si="2"/>
        <v>SETUJU</v>
      </c>
      <c r="H68" s="43" t="str">
        <f t="shared" si="3"/>
        <v xml:space="preserve">Perbaikan sesuai standar SPMI dan hasil tinjauan manajemen </v>
      </c>
      <c r="I68" s="43" t="str">
        <f t="shared" si="4"/>
        <v>PERIODE AMI BERIKUTNYA</v>
      </c>
      <c r="J68" s="34" t="str">
        <f t="shared" si="5"/>
        <v>KPS</v>
      </c>
      <c r="K68" s="34" t="str">
        <f t="shared" si="6"/>
        <v>Monev Prodi</v>
      </c>
      <c r="L68" s="32"/>
      <c r="M68" s="34">
        <f>'Hasil AMI  Tindak lanjut'!G74</f>
        <v>0</v>
      </c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spans="1:26" ht="137.25" hidden="1" customHeight="1">
      <c r="A69" s="32">
        <f>'Hasil AMI  Tindak lanjut'!A75</f>
        <v>0</v>
      </c>
      <c r="B69" s="33">
        <f>'Instrumen Audit SPMI 2021'!B69</f>
        <v>0</v>
      </c>
      <c r="C69" s="43">
        <f>'Hasil AMI  Tindak lanjut'!D75</f>
        <v>0</v>
      </c>
      <c r="D69" s="33">
        <f>'Hasil AMI  Tindak lanjut'!D75</f>
        <v>0</v>
      </c>
      <c r="E69" s="34" t="str">
        <f t="shared" si="0"/>
        <v>TIDAK SESUAI SPMI</v>
      </c>
      <c r="F69" s="32" t="str">
        <f t="shared" si="1"/>
        <v>Tidak Tercapai</v>
      </c>
      <c r="G69" s="32" t="str">
        <f t="shared" si="2"/>
        <v>SETUJU</v>
      </c>
      <c r="H69" s="43" t="str">
        <f t="shared" si="3"/>
        <v xml:space="preserve">Perbaikan sesuai standar SPMI dan hasil tinjauan manajemen </v>
      </c>
      <c r="I69" s="43" t="str">
        <f t="shared" si="4"/>
        <v>PERIODE AMI BERIKUTNYA</v>
      </c>
      <c r="J69" s="34" t="str">
        <f t="shared" si="5"/>
        <v>KPS</v>
      </c>
      <c r="K69" s="34" t="str">
        <f t="shared" si="6"/>
        <v>Monev Prodi</v>
      </c>
      <c r="L69" s="32"/>
      <c r="M69" s="34">
        <f>'Hasil AMI  Tindak lanjut'!G75</f>
        <v>0</v>
      </c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spans="1:26" ht="137.25" hidden="1" customHeight="1">
      <c r="A70" s="32">
        <f>'Hasil AMI  Tindak lanjut'!A76</f>
        <v>0</v>
      </c>
      <c r="B70" s="33">
        <f>'Instrumen Audit SPMI 2021'!B70</f>
        <v>0</v>
      </c>
      <c r="C70" s="43">
        <f>'Hasil AMI  Tindak lanjut'!D76</f>
        <v>0</v>
      </c>
      <c r="D70" s="33">
        <f>'Hasil AMI  Tindak lanjut'!D76</f>
        <v>0</v>
      </c>
      <c r="E70" s="34" t="str">
        <f t="shared" si="0"/>
        <v>TIDAK SESUAI SPMI</v>
      </c>
      <c r="F70" s="32" t="str">
        <f t="shared" si="1"/>
        <v>Tidak Tercapai</v>
      </c>
      <c r="G70" s="32" t="str">
        <f t="shared" si="2"/>
        <v>SETUJU</v>
      </c>
      <c r="H70" s="43" t="str">
        <f t="shared" si="3"/>
        <v xml:space="preserve">Perbaikan sesuai standar SPMI dan hasil tinjauan manajemen </v>
      </c>
      <c r="I70" s="43" t="str">
        <f t="shared" si="4"/>
        <v>PERIODE AMI BERIKUTNYA</v>
      </c>
      <c r="J70" s="34" t="str">
        <f t="shared" si="5"/>
        <v>KPS</v>
      </c>
      <c r="K70" s="34" t="str">
        <f t="shared" si="6"/>
        <v>Monev Prodi</v>
      </c>
      <c r="L70" s="32"/>
      <c r="M70" s="34">
        <f>'Hasil AMI  Tindak lanjut'!G76</f>
        <v>0</v>
      </c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spans="1:26" ht="137.25" hidden="1" customHeight="1">
      <c r="A71" s="32">
        <f>'Hasil AMI  Tindak lanjut'!A77</f>
        <v>0</v>
      </c>
      <c r="B71" s="33">
        <f>'Instrumen Audit SPMI 2021'!B71</f>
        <v>0</v>
      </c>
      <c r="C71" s="43">
        <f>'Hasil AMI  Tindak lanjut'!D77</f>
        <v>0</v>
      </c>
      <c r="D71" s="33">
        <f>'Hasil AMI  Tindak lanjut'!D77</f>
        <v>0</v>
      </c>
      <c r="E71" s="34" t="str">
        <f t="shared" si="0"/>
        <v>TIDAK SESUAI SPMI</v>
      </c>
      <c r="F71" s="32" t="str">
        <f t="shared" si="1"/>
        <v>Tidak Tercapai</v>
      </c>
      <c r="G71" s="32" t="str">
        <f t="shared" si="2"/>
        <v>SETUJU</v>
      </c>
      <c r="H71" s="43" t="str">
        <f t="shared" si="3"/>
        <v xml:space="preserve">Perbaikan sesuai standar SPMI dan hasil tinjauan manajemen </v>
      </c>
      <c r="I71" s="43" t="str">
        <f t="shared" si="4"/>
        <v>PERIODE AMI BERIKUTNYA</v>
      </c>
      <c r="J71" s="34" t="str">
        <f t="shared" si="5"/>
        <v>KPS</v>
      </c>
      <c r="K71" s="34" t="str">
        <f t="shared" si="6"/>
        <v>Monev Prodi</v>
      </c>
      <c r="L71" s="32"/>
      <c r="M71" s="34">
        <f>'Hasil AMI  Tindak lanjut'!G77</f>
        <v>0</v>
      </c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spans="1:26" ht="137.25" hidden="1" customHeight="1">
      <c r="A72" s="32">
        <f>'Hasil AMI  Tindak lanjut'!A78</f>
        <v>0</v>
      </c>
      <c r="B72" s="33">
        <f>'Instrumen Audit SPMI 2021'!B72</f>
        <v>0</v>
      </c>
      <c r="C72" s="43">
        <f>'Hasil AMI  Tindak lanjut'!D78</f>
        <v>0</v>
      </c>
      <c r="D72" s="33">
        <f>'Hasil AMI  Tindak lanjut'!D78</f>
        <v>0</v>
      </c>
      <c r="E72" s="34" t="str">
        <f t="shared" si="0"/>
        <v>TIDAK SESUAI SPMI</v>
      </c>
      <c r="F72" s="32" t="str">
        <f t="shared" si="1"/>
        <v>Tidak Tercapai</v>
      </c>
      <c r="G72" s="32" t="str">
        <f t="shared" si="2"/>
        <v>SETUJU</v>
      </c>
      <c r="H72" s="43" t="str">
        <f t="shared" si="3"/>
        <v xml:space="preserve">Perbaikan sesuai standar SPMI dan hasil tinjauan manajemen </v>
      </c>
      <c r="I72" s="43" t="str">
        <f t="shared" si="4"/>
        <v>PERIODE AMI BERIKUTNYA</v>
      </c>
      <c r="J72" s="34" t="str">
        <f t="shared" si="5"/>
        <v>KPS</v>
      </c>
      <c r="K72" s="34" t="str">
        <f t="shared" si="6"/>
        <v>Monev Prodi</v>
      </c>
      <c r="L72" s="32"/>
      <c r="M72" s="34">
        <f>'Hasil AMI  Tindak lanjut'!G78</f>
        <v>0</v>
      </c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spans="1:26" ht="137.25" hidden="1" customHeight="1">
      <c r="A73" s="32">
        <f>'Hasil AMI  Tindak lanjut'!A79</f>
        <v>0</v>
      </c>
      <c r="B73" s="33">
        <f>'Instrumen Audit SPMI 2021'!B73</f>
        <v>0</v>
      </c>
      <c r="C73" s="43">
        <f>'Hasil AMI  Tindak lanjut'!D79</f>
        <v>0</v>
      </c>
      <c r="D73" s="33">
        <f>'Hasil AMI  Tindak lanjut'!D79</f>
        <v>0</v>
      </c>
      <c r="E73" s="34" t="str">
        <f t="shared" si="0"/>
        <v>TIDAK SESUAI SPMI</v>
      </c>
      <c r="F73" s="32" t="str">
        <f t="shared" si="1"/>
        <v>Tidak Tercapai</v>
      </c>
      <c r="G73" s="32" t="str">
        <f t="shared" si="2"/>
        <v>SETUJU</v>
      </c>
      <c r="H73" s="43" t="str">
        <f t="shared" si="3"/>
        <v xml:space="preserve">Perbaikan sesuai standar SPMI dan hasil tinjauan manajemen </v>
      </c>
      <c r="I73" s="43" t="str">
        <f t="shared" si="4"/>
        <v>PERIODE AMI BERIKUTNYA</v>
      </c>
      <c r="J73" s="34" t="str">
        <f t="shared" si="5"/>
        <v>KPS</v>
      </c>
      <c r="K73" s="34" t="str">
        <f t="shared" si="6"/>
        <v>Monev Prodi</v>
      </c>
      <c r="L73" s="32"/>
      <c r="M73" s="34">
        <f>'Hasil AMI  Tindak lanjut'!G79</f>
        <v>0</v>
      </c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spans="1:26" ht="137.25" hidden="1" customHeight="1">
      <c r="A74" s="32">
        <f>'Hasil AMI  Tindak lanjut'!A80</f>
        <v>0</v>
      </c>
      <c r="B74" s="33">
        <f>'Instrumen Audit SPMI 2021'!B74</f>
        <v>0</v>
      </c>
      <c r="C74" s="43">
        <f>'Hasil AMI  Tindak lanjut'!D80</f>
        <v>0</v>
      </c>
      <c r="D74" s="33">
        <f>'Hasil AMI  Tindak lanjut'!D80</f>
        <v>0</v>
      </c>
      <c r="E74" s="34" t="str">
        <f t="shared" si="0"/>
        <v>TIDAK SESUAI SPMI</v>
      </c>
      <c r="F74" s="32" t="str">
        <f t="shared" si="1"/>
        <v>Tidak Tercapai</v>
      </c>
      <c r="G74" s="32" t="str">
        <f t="shared" si="2"/>
        <v>SETUJU</v>
      </c>
      <c r="H74" s="43" t="str">
        <f t="shared" si="3"/>
        <v xml:space="preserve">Perbaikan sesuai standar SPMI dan hasil tinjauan manajemen </v>
      </c>
      <c r="I74" s="43" t="str">
        <f t="shared" si="4"/>
        <v>PERIODE AMI BERIKUTNYA</v>
      </c>
      <c r="J74" s="34" t="str">
        <f t="shared" si="5"/>
        <v>KPS</v>
      </c>
      <c r="K74" s="34" t="str">
        <f t="shared" si="6"/>
        <v>Monev Prodi</v>
      </c>
      <c r="L74" s="32"/>
      <c r="M74" s="34">
        <f>'Hasil AMI  Tindak lanjut'!G80</f>
        <v>0</v>
      </c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spans="1:26" ht="137.25" hidden="1" customHeight="1">
      <c r="A75" s="32">
        <f>'Hasil AMI  Tindak lanjut'!A81</f>
        <v>0</v>
      </c>
      <c r="B75" s="33">
        <f>'Instrumen Audit SPMI 2021'!B75</f>
        <v>0</v>
      </c>
      <c r="C75" s="43">
        <f>'Hasil AMI  Tindak lanjut'!D81</f>
        <v>0</v>
      </c>
      <c r="D75" s="33">
        <f>'Hasil AMI  Tindak lanjut'!D81</f>
        <v>0</v>
      </c>
      <c r="E75" s="34" t="str">
        <f t="shared" si="0"/>
        <v>TIDAK SESUAI SPMI</v>
      </c>
      <c r="F75" s="32" t="str">
        <f t="shared" si="1"/>
        <v>Tidak Tercapai</v>
      </c>
      <c r="G75" s="32" t="str">
        <f t="shared" si="2"/>
        <v>SETUJU</v>
      </c>
      <c r="H75" s="43" t="str">
        <f t="shared" si="3"/>
        <v xml:space="preserve">Perbaikan sesuai standar SPMI dan hasil tinjauan manajemen </v>
      </c>
      <c r="I75" s="43" t="str">
        <f t="shared" si="4"/>
        <v>PERIODE AMI BERIKUTNYA</v>
      </c>
      <c r="J75" s="34" t="str">
        <f t="shared" si="5"/>
        <v>KPS</v>
      </c>
      <c r="K75" s="34" t="str">
        <f t="shared" si="6"/>
        <v>Monev Prodi</v>
      </c>
      <c r="L75" s="32"/>
      <c r="M75" s="34">
        <f>'Hasil AMI  Tindak lanjut'!G81</f>
        <v>0</v>
      </c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spans="1:26" ht="137.25" hidden="1" customHeight="1">
      <c r="A76" s="32">
        <f>'Hasil AMI  Tindak lanjut'!A82</f>
        <v>0</v>
      </c>
      <c r="B76" s="33">
        <f>'Instrumen Audit SPMI 2021'!B76</f>
        <v>0</v>
      </c>
      <c r="C76" s="43">
        <f>'Hasil AMI  Tindak lanjut'!D82</f>
        <v>0</v>
      </c>
      <c r="D76" s="33">
        <f>'Hasil AMI  Tindak lanjut'!D82</f>
        <v>0</v>
      </c>
      <c r="E76" s="34" t="str">
        <f t="shared" si="0"/>
        <v>TIDAK SESUAI SPMI</v>
      </c>
      <c r="F76" s="32" t="str">
        <f t="shared" si="1"/>
        <v>Tidak Tercapai</v>
      </c>
      <c r="G76" s="32" t="str">
        <f t="shared" si="2"/>
        <v>SETUJU</v>
      </c>
      <c r="H76" s="43" t="str">
        <f t="shared" si="3"/>
        <v xml:space="preserve">Perbaikan sesuai standar SPMI dan hasil tinjauan manajemen </v>
      </c>
      <c r="I76" s="43" t="str">
        <f t="shared" si="4"/>
        <v>PERIODE AMI BERIKUTNYA</v>
      </c>
      <c r="J76" s="34" t="str">
        <f t="shared" si="5"/>
        <v>KPS</v>
      </c>
      <c r="K76" s="34" t="str">
        <f t="shared" si="6"/>
        <v>Monev Prodi</v>
      </c>
      <c r="L76" s="32"/>
      <c r="M76" s="34">
        <f>'Hasil AMI  Tindak lanjut'!G82</f>
        <v>0</v>
      </c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spans="1:26" ht="137.25" hidden="1" customHeight="1">
      <c r="A77" s="32">
        <f>'Hasil AMI  Tindak lanjut'!A83</f>
        <v>0</v>
      </c>
      <c r="B77" s="33">
        <f>'Instrumen Audit SPMI 2021'!B77</f>
        <v>0</v>
      </c>
      <c r="C77" s="43">
        <f>'Hasil AMI  Tindak lanjut'!D83</f>
        <v>0</v>
      </c>
      <c r="D77" s="33">
        <f>'Hasil AMI  Tindak lanjut'!D83</f>
        <v>0</v>
      </c>
      <c r="E77" s="34" t="str">
        <f t="shared" si="0"/>
        <v>TIDAK SESUAI SPMI</v>
      </c>
      <c r="F77" s="32" t="str">
        <f t="shared" si="1"/>
        <v>Tidak Tercapai</v>
      </c>
      <c r="G77" s="32" t="str">
        <f t="shared" si="2"/>
        <v>SETUJU</v>
      </c>
      <c r="H77" s="43" t="str">
        <f t="shared" si="3"/>
        <v xml:space="preserve">Perbaikan sesuai standar SPMI dan hasil tinjauan manajemen </v>
      </c>
      <c r="I77" s="43" t="str">
        <f t="shared" si="4"/>
        <v>PERIODE AMI BERIKUTNYA</v>
      </c>
      <c r="J77" s="34" t="str">
        <f t="shared" si="5"/>
        <v>KPS</v>
      </c>
      <c r="K77" s="34" t="str">
        <f t="shared" si="6"/>
        <v>Monev Prodi</v>
      </c>
      <c r="L77" s="32"/>
      <c r="M77" s="34">
        <f>'Hasil AMI  Tindak lanjut'!G83</f>
        <v>0</v>
      </c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spans="1:26" ht="137.25" hidden="1" customHeight="1">
      <c r="A78" s="32">
        <f>'Hasil AMI  Tindak lanjut'!A84</f>
        <v>0</v>
      </c>
      <c r="B78" s="33">
        <f>'Instrumen Audit SPMI 2021'!B78</f>
        <v>0</v>
      </c>
      <c r="C78" s="43">
        <f>'Hasil AMI  Tindak lanjut'!D84</f>
        <v>0</v>
      </c>
      <c r="D78" s="33">
        <f>'Hasil AMI  Tindak lanjut'!D84</f>
        <v>0</v>
      </c>
      <c r="E78" s="34" t="str">
        <f t="shared" si="0"/>
        <v>TIDAK SESUAI SPMI</v>
      </c>
      <c r="F78" s="32" t="str">
        <f t="shared" si="1"/>
        <v>Tidak Tercapai</v>
      </c>
      <c r="G78" s="32" t="str">
        <f t="shared" si="2"/>
        <v>SETUJU</v>
      </c>
      <c r="H78" s="43" t="str">
        <f t="shared" si="3"/>
        <v xml:space="preserve">Perbaikan sesuai standar SPMI dan hasil tinjauan manajemen </v>
      </c>
      <c r="I78" s="43" t="str">
        <f t="shared" si="4"/>
        <v>PERIODE AMI BERIKUTNYA</v>
      </c>
      <c r="J78" s="34" t="str">
        <f t="shared" si="5"/>
        <v>KPS</v>
      </c>
      <c r="K78" s="34" t="str">
        <f t="shared" si="6"/>
        <v>Monev Prodi</v>
      </c>
      <c r="L78" s="32"/>
      <c r="M78" s="34">
        <f>'Hasil AMI  Tindak lanjut'!G84</f>
        <v>0</v>
      </c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spans="1:26" ht="137.25" hidden="1" customHeight="1">
      <c r="A79" s="32">
        <f>'Hasil AMI  Tindak lanjut'!A85</f>
        <v>0</v>
      </c>
      <c r="B79" s="33">
        <f>'Instrumen Audit SPMI 2021'!B79</f>
        <v>0</v>
      </c>
      <c r="C79" s="43">
        <f>'Hasil AMI  Tindak lanjut'!D85</f>
        <v>0</v>
      </c>
      <c r="D79" s="33">
        <f>'Hasil AMI  Tindak lanjut'!D85</f>
        <v>0</v>
      </c>
      <c r="E79" s="34" t="str">
        <f t="shared" si="0"/>
        <v>TIDAK SESUAI SPMI</v>
      </c>
      <c r="F79" s="32" t="str">
        <f t="shared" si="1"/>
        <v>Tidak Tercapai</v>
      </c>
      <c r="G79" s="32" t="str">
        <f t="shared" si="2"/>
        <v>SETUJU</v>
      </c>
      <c r="H79" s="43" t="str">
        <f t="shared" si="3"/>
        <v xml:space="preserve">Perbaikan sesuai standar SPMI dan hasil tinjauan manajemen </v>
      </c>
      <c r="I79" s="43" t="str">
        <f t="shared" si="4"/>
        <v>PERIODE AMI BERIKUTNYA</v>
      </c>
      <c r="J79" s="34" t="str">
        <f t="shared" si="5"/>
        <v>KPS</v>
      </c>
      <c r="K79" s="34" t="str">
        <f t="shared" si="6"/>
        <v>Monev Prodi</v>
      </c>
      <c r="L79" s="32"/>
      <c r="M79" s="34">
        <f>'Hasil AMI  Tindak lanjut'!G85</f>
        <v>0</v>
      </c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spans="1:26" ht="137.25" hidden="1" customHeight="1">
      <c r="A80" s="32">
        <f>'Hasil AMI  Tindak lanjut'!A86</f>
        <v>0</v>
      </c>
      <c r="B80" s="33">
        <f>'Instrumen Audit SPMI 2021'!B80</f>
        <v>0</v>
      </c>
      <c r="C80" s="43">
        <f>'Hasil AMI  Tindak lanjut'!D86</f>
        <v>0</v>
      </c>
      <c r="D80" s="33">
        <f>'Hasil AMI  Tindak lanjut'!D86</f>
        <v>0</v>
      </c>
      <c r="E80" s="34" t="str">
        <f t="shared" si="0"/>
        <v>TIDAK SESUAI SPMI</v>
      </c>
      <c r="F80" s="32" t="str">
        <f t="shared" si="1"/>
        <v>Tidak Tercapai</v>
      </c>
      <c r="G80" s="32" t="str">
        <f t="shared" si="2"/>
        <v>SETUJU</v>
      </c>
      <c r="H80" s="43" t="str">
        <f t="shared" si="3"/>
        <v xml:space="preserve">Perbaikan sesuai standar SPMI dan hasil tinjauan manajemen </v>
      </c>
      <c r="I80" s="43" t="str">
        <f t="shared" si="4"/>
        <v>PERIODE AMI BERIKUTNYA</v>
      </c>
      <c r="J80" s="34" t="str">
        <f t="shared" si="5"/>
        <v>KPS</v>
      </c>
      <c r="K80" s="34" t="str">
        <f t="shared" si="6"/>
        <v>Monev Prodi</v>
      </c>
      <c r="L80" s="32"/>
      <c r="M80" s="34">
        <f>'Hasil AMI  Tindak lanjut'!G86</f>
        <v>0</v>
      </c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spans="1:26" ht="137.25" hidden="1" customHeight="1">
      <c r="A81" s="32">
        <f>'Hasil AMI  Tindak lanjut'!A87</f>
        <v>0</v>
      </c>
      <c r="B81" s="33">
        <f>'Instrumen Audit SPMI 2021'!B81</f>
        <v>0</v>
      </c>
      <c r="C81" s="43">
        <f>'Hasil AMI  Tindak lanjut'!D87</f>
        <v>0</v>
      </c>
      <c r="D81" s="33">
        <f>'Hasil AMI  Tindak lanjut'!D87</f>
        <v>0</v>
      </c>
      <c r="E81" s="34" t="str">
        <f t="shared" si="0"/>
        <v>TIDAK SESUAI SPMI</v>
      </c>
      <c r="F81" s="32" t="str">
        <f t="shared" si="1"/>
        <v>Tidak Tercapai</v>
      </c>
      <c r="G81" s="32" t="str">
        <f t="shared" si="2"/>
        <v>SETUJU</v>
      </c>
      <c r="H81" s="43" t="str">
        <f t="shared" si="3"/>
        <v xml:space="preserve">Perbaikan sesuai standar SPMI dan hasil tinjauan manajemen </v>
      </c>
      <c r="I81" s="43" t="str">
        <f t="shared" si="4"/>
        <v>PERIODE AMI BERIKUTNYA</v>
      </c>
      <c r="J81" s="34" t="str">
        <f t="shared" si="5"/>
        <v>KPS</v>
      </c>
      <c r="K81" s="34" t="str">
        <f t="shared" si="6"/>
        <v>Monev Prodi</v>
      </c>
      <c r="L81" s="32"/>
      <c r="M81" s="34">
        <f>'Hasil AMI  Tindak lanjut'!G87</f>
        <v>0</v>
      </c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spans="1:26" ht="137.25" hidden="1" customHeight="1">
      <c r="A82" s="32">
        <f>'Hasil AMI  Tindak lanjut'!A88</f>
        <v>0</v>
      </c>
      <c r="B82" s="33">
        <f>'Instrumen Audit SPMI 2021'!B82</f>
        <v>0</v>
      </c>
      <c r="C82" s="43">
        <f>'Hasil AMI  Tindak lanjut'!D88</f>
        <v>0</v>
      </c>
      <c r="D82" s="33">
        <f>'Hasil AMI  Tindak lanjut'!D88</f>
        <v>0</v>
      </c>
      <c r="E82" s="34" t="str">
        <f t="shared" si="0"/>
        <v>TIDAK SESUAI SPMI</v>
      </c>
      <c r="F82" s="32" t="str">
        <f t="shared" si="1"/>
        <v>Tidak Tercapai</v>
      </c>
      <c r="G82" s="32" t="str">
        <f t="shared" si="2"/>
        <v>SETUJU</v>
      </c>
      <c r="H82" s="43" t="str">
        <f t="shared" si="3"/>
        <v xml:space="preserve">Perbaikan sesuai standar SPMI dan hasil tinjauan manajemen </v>
      </c>
      <c r="I82" s="43" t="str">
        <f t="shared" si="4"/>
        <v>PERIODE AMI BERIKUTNYA</v>
      </c>
      <c r="J82" s="34" t="str">
        <f t="shared" si="5"/>
        <v>KPS</v>
      </c>
      <c r="K82" s="34" t="str">
        <f t="shared" si="6"/>
        <v>Monev Prodi</v>
      </c>
      <c r="L82" s="32"/>
      <c r="M82" s="34">
        <f>'Hasil AMI  Tindak lanjut'!G88</f>
        <v>0</v>
      </c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spans="1:26" ht="137.25" hidden="1" customHeight="1">
      <c r="A83" s="32">
        <f>'Hasil AMI  Tindak lanjut'!A89</f>
        <v>0</v>
      </c>
      <c r="B83" s="33">
        <f>'Instrumen Audit SPMI 2021'!B83</f>
        <v>0</v>
      </c>
      <c r="C83" s="43">
        <f>'Hasil AMI  Tindak lanjut'!D89</f>
        <v>0</v>
      </c>
      <c r="D83" s="33">
        <f>'Hasil AMI  Tindak lanjut'!D89</f>
        <v>0</v>
      </c>
      <c r="E83" s="34" t="str">
        <f t="shared" si="0"/>
        <v>TIDAK SESUAI SPMI</v>
      </c>
      <c r="F83" s="32" t="str">
        <f t="shared" si="1"/>
        <v>Tidak Tercapai</v>
      </c>
      <c r="G83" s="32" t="str">
        <f t="shared" si="2"/>
        <v>SETUJU</v>
      </c>
      <c r="H83" s="43" t="str">
        <f t="shared" si="3"/>
        <v xml:space="preserve">Perbaikan sesuai standar SPMI dan hasil tinjauan manajemen </v>
      </c>
      <c r="I83" s="43" t="str">
        <f t="shared" si="4"/>
        <v>PERIODE AMI BERIKUTNYA</v>
      </c>
      <c r="J83" s="34" t="str">
        <f t="shared" si="5"/>
        <v>KPS</v>
      </c>
      <c r="K83" s="34" t="str">
        <f t="shared" si="6"/>
        <v>Monev Prodi</v>
      </c>
      <c r="L83" s="32"/>
      <c r="M83" s="34">
        <f>'Hasil AMI  Tindak lanjut'!G89</f>
        <v>0</v>
      </c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spans="1:26" ht="137.25" hidden="1" customHeight="1">
      <c r="A84" s="32">
        <f>'Hasil AMI  Tindak lanjut'!A90</f>
        <v>0</v>
      </c>
      <c r="B84" s="33">
        <f>'Instrumen Audit SPMI 2021'!B84</f>
        <v>0</v>
      </c>
      <c r="C84" s="43">
        <f>'Hasil AMI  Tindak lanjut'!D90</f>
        <v>0</v>
      </c>
      <c r="D84" s="33">
        <f>'Hasil AMI  Tindak lanjut'!D90</f>
        <v>0</v>
      </c>
      <c r="E84" s="34" t="str">
        <f t="shared" si="0"/>
        <v>TIDAK SESUAI SPMI</v>
      </c>
      <c r="F84" s="32" t="str">
        <f t="shared" si="1"/>
        <v>Tidak Tercapai</v>
      </c>
      <c r="G84" s="32" t="str">
        <f t="shared" si="2"/>
        <v>SETUJU</v>
      </c>
      <c r="H84" s="43" t="str">
        <f t="shared" si="3"/>
        <v xml:space="preserve">Perbaikan sesuai standar SPMI dan hasil tinjauan manajemen </v>
      </c>
      <c r="I84" s="43" t="str">
        <f t="shared" si="4"/>
        <v>PERIODE AMI BERIKUTNYA</v>
      </c>
      <c r="J84" s="34" t="str">
        <f t="shared" si="5"/>
        <v>KPS</v>
      </c>
      <c r="K84" s="34" t="str">
        <f t="shared" si="6"/>
        <v>Monev Prodi</v>
      </c>
      <c r="L84" s="32"/>
      <c r="M84" s="34">
        <f>'Hasil AMI  Tindak lanjut'!G90</f>
        <v>0</v>
      </c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spans="1:26" ht="137.25" hidden="1" customHeight="1">
      <c r="A85" s="32">
        <f>'Hasil AMI  Tindak lanjut'!A91</f>
        <v>0</v>
      </c>
      <c r="B85" s="33">
        <f>'Instrumen Audit SPMI 2021'!B85</f>
        <v>0</v>
      </c>
      <c r="C85" s="43">
        <f>'Hasil AMI  Tindak lanjut'!D91</f>
        <v>0</v>
      </c>
      <c r="D85" s="33">
        <f>'Hasil AMI  Tindak lanjut'!D91</f>
        <v>0</v>
      </c>
      <c r="E85" s="34" t="str">
        <f t="shared" si="0"/>
        <v>TIDAK SESUAI SPMI</v>
      </c>
      <c r="F85" s="32" t="str">
        <f t="shared" si="1"/>
        <v>Tidak Tercapai</v>
      </c>
      <c r="G85" s="32" t="str">
        <f t="shared" si="2"/>
        <v>SETUJU</v>
      </c>
      <c r="H85" s="43" t="str">
        <f t="shared" si="3"/>
        <v xml:space="preserve">Perbaikan sesuai standar SPMI dan hasil tinjauan manajemen </v>
      </c>
      <c r="I85" s="43" t="str">
        <f t="shared" si="4"/>
        <v>PERIODE AMI BERIKUTNYA</v>
      </c>
      <c r="J85" s="34" t="str">
        <f t="shared" si="5"/>
        <v>KPS</v>
      </c>
      <c r="K85" s="34" t="str">
        <f t="shared" si="6"/>
        <v>Monev Prodi</v>
      </c>
      <c r="L85" s="32"/>
      <c r="M85" s="34">
        <f>'Hasil AMI  Tindak lanjut'!G91</f>
        <v>0</v>
      </c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spans="1:26" ht="137.25" hidden="1" customHeight="1">
      <c r="A86" s="32">
        <f>'Hasil AMI  Tindak lanjut'!A92</f>
        <v>0</v>
      </c>
      <c r="B86" s="33">
        <f>'Instrumen Audit SPMI 2021'!B86</f>
        <v>0</v>
      </c>
      <c r="C86" s="43">
        <f>'Hasil AMI  Tindak lanjut'!D92</f>
        <v>0</v>
      </c>
      <c r="D86" s="33">
        <f>'Hasil AMI  Tindak lanjut'!D92</f>
        <v>0</v>
      </c>
      <c r="E86" s="34" t="str">
        <f t="shared" si="0"/>
        <v>TIDAK SESUAI SPMI</v>
      </c>
      <c r="F86" s="32" t="str">
        <f t="shared" si="1"/>
        <v>Tidak Tercapai</v>
      </c>
      <c r="G86" s="32" t="str">
        <f t="shared" si="2"/>
        <v>SETUJU</v>
      </c>
      <c r="H86" s="43" t="str">
        <f t="shared" si="3"/>
        <v xml:space="preserve">Perbaikan sesuai standar SPMI dan hasil tinjauan manajemen </v>
      </c>
      <c r="I86" s="43" t="str">
        <f t="shared" si="4"/>
        <v>PERIODE AMI BERIKUTNYA</v>
      </c>
      <c r="J86" s="34" t="str">
        <f t="shared" si="5"/>
        <v>KPS</v>
      </c>
      <c r="K86" s="34" t="str">
        <f t="shared" si="6"/>
        <v>Monev Prodi</v>
      </c>
      <c r="L86" s="32"/>
      <c r="M86" s="34">
        <f>'Hasil AMI  Tindak lanjut'!G92</f>
        <v>0</v>
      </c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spans="1:26" ht="137.25" hidden="1" customHeight="1">
      <c r="A87" s="32">
        <f>'Hasil AMI  Tindak lanjut'!A93</f>
        <v>0</v>
      </c>
      <c r="B87" s="33">
        <f>'Instrumen Audit SPMI 2021'!B87</f>
        <v>0</v>
      </c>
      <c r="C87" s="43">
        <f>'Hasil AMI  Tindak lanjut'!D93</f>
        <v>0</v>
      </c>
      <c r="D87" s="33">
        <f>'Hasil AMI  Tindak lanjut'!D93</f>
        <v>0</v>
      </c>
      <c r="E87" s="34" t="str">
        <f t="shared" si="0"/>
        <v>TIDAK SESUAI SPMI</v>
      </c>
      <c r="F87" s="32" t="str">
        <f t="shared" si="1"/>
        <v>Tidak Tercapai</v>
      </c>
      <c r="G87" s="32" t="str">
        <f t="shared" si="2"/>
        <v>SETUJU</v>
      </c>
      <c r="H87" s="43" t="str">
        <f t="shared" si="3"/>
        <v xml:space="preserve">Perbaikan sesuai standar SPMI dan hasil tinjauan manajemen </v>
      </c>
      <c r="I87" s="43" t="str">
        <f t="shared" si="4"/>
        <v>PERIODE AMI BERIKUTNYA</v>
      </c>
      <c r="J87" s="34" t="str">
        <f t="shared" si="5"/>
        <v>KPS</v>
      </c>
      <c r="K87" s="34" t="str">
        <f t="shared" si="6"/>
        <v>Monev Prodi</v>
      </c>
      <c r="L87" s="32"/>
      <c r="M87" s="34">
        <f>'Hasil AMI  Tindak lanjut'!G93</f>
        <v>0</v>
      </c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spans="1:26" ht="15.7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spans="1:26" ht="15.75" customHeight="1">
      <c r="A89" s="69" t="s">
        <v>65</v>
      </c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7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spans="1:26" ht="59.25" customHeight="1">
      <c r="A90" s="73" t="s">
        <v>66</v>
      </c>
      <c r="B90" s="57"/>
      <c r="C90" s="67"/>
      <c r="D90" s="57"/>
      <c r="E90" s="74" t="s">
        <v>67</v>
      </c>
      <c r="F90" s="57"/>
      <c r="G90" s="73" t="s">
        <v>68</v>
      </c>
      <c r="H90" s="57"/>
      <c r="I90" s="66"/>
      <c r="J90" s="56"/>
      <c r="K90" s="57"/>
      <c r="L90" s="74" t="s">
        <v>67</v>
      </c>
      <c r="M90" s="57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spans="1:26" ht="15.75" customHeight="1">
      <c r="A91" s="69" t="s">
        <v>69</v>
      </c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7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spans="1:26" ht="25.5" customHeight="1">
      <c r="A92" s="70" t="s">
        <v>70</v>
      </c>
      <c r="B92" s="60"/>
      <c r="C92" s="64" t="s">
        <v>71</v>
      </c>
      <c r="D92" s="56"/>
      <c r="E92" s="56"/>
      <c r="F92" s="57"/>
      <c r="G92" s="71" t="s">
        <v>67</v>
      </c>
      <c r="H92" s="59"/>
      <c r="I92" s="59"/>
      <c r="J92" s="59"/>
      <c r="K92" s="59"/>
      <c r="L92" s="59"/>
      <c r="M92" s="6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spans="1:26" ht="25.5" customHeight="1">
      <c r="A93" s="61"/>
      <c r="B93" s="62"/>
      <c r="C93" s="66"/>
      <c r="D93" s="56"/>
      <c r="E93" s="56"/>
      <c r="F93" s="57"/>
      <c r="G93" s="61"/>
      <c r="H93" s="53"/>
      <c r="I93" s="53"/>
      <c r="J93" s="53"/>
      <c r="K93" s="53"/>
      <c r="L93" s="53"/>
      <c r="M93" s="62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spans="1:26" ht="15.7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spans="1:26" ht="15.7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spans="1:26" ht="15.7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spans="1:26" ht="15.7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spans="1:26" ht="15.75" customHeight="1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1:26" ht="15.75" customHeight="1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1:26" ht="15.75" customHeight="1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1:26" ht="15.75" customHeight="1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1:26" ht="15.75" customHeight="1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1:26" ht="15.75" customHeight="1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1:26" ht="15.75" customHeight="1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1:26" ht="15.75" customHeight="1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1:26" ht="15.75" customHeight="1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1:26" ht="15.75" customHeight="1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1:26" ht="15.75" customHeight="1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1:26" ht="15.75" customHeight="1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1:26" ht="15.75" customHeight="1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1:26" ht="15.75" customHeight="1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1:26" ht="15.75" customHeight="1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1:26" ht="15.75" customHeight="1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1:26" ht="15.75" customHeight="1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1:26" ht="15.75" customHeight="1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1:26" ht="15.75" customHeight="1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1:26" ht="15.75" customHeight="1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1:26" ht="15.75" customHeight="1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1:26" ht="15.75" customHeight="1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1:26" ht="15.75" customHeight="1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1:26" ht="15.75" customHeight="1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1:26" ht="15.75" customHeight="1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1:26" ht="15.75" customHeight="1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1:26" ht="15.75" customHeight="1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1:26" ht="15.75" customHeight="1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1:26" ht="15.75" customHeight="1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1:26" ht="15.75" customHeight="1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1:26" ht="15.75" customHeight="1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1:26" ht="15.75" customHeight="1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1:26" ht="15.75" customHeight="1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1:26" ht="15.75" customHeight="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1:26" ht="15.75" customHeight="1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1:26" ht="15.75" customHeight="1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1:26" ht="15.75" customHeight="1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1:26" ht="15.75" customHeight="1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1:26" ht="15.75" customHeight="1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1:26" ht="15.75" customHeight="1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1:26" ht="15.75" customHeight="1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1:26" ht="15.75" customHeight="1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1:26" ht="15.75" customHeight="1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1:26" ht="15.75" customHeight="1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1:26" ht="15.75" customHeight="1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1:26" ht="15.75" customHeight="1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1:26" ht="15.75" customHeight="1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1:26" ht="15.75" customHeight="1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1:26" ht="15.75" customHeight="1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1:26" ht="15.75" customHeight="1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1:26" ht="15.75" customHeight="1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1:26" ht="15.75" customHeight="1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1:26" ht="15.75" customHeight="1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1:26" ht="15.75" customHeight="1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1:26" ht="15.75" customHeight="1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1:26" ht="15.75" customHeight="1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1:26" ht="15.75" customHeight="1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1:26" ht="15.75" customHeight="1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1:26" ht="15.75" customHeight="1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1:26" ht="15.75" customHeight="1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1:26" ht="15.75" customHeight="1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1:26" ht="15.75" customHeight="1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1:26" ht="15.75" customHeight="1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1:26" ht="15.75" customHeight="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1:26" ht="15.75" customHeight="1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1:26" ht="15.75" customHeight="1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1:26" ht="15.75" customHeight="1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1:26" ht="15.75" customHeight="1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1:26" ht="15.75" customHeight="1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1:26" ht="15.75" customHeight="1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1:26" ht="15.75" customHeight="1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1:26" ht="15.75" customHeight="1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1:26" ht="15.75" customHeight="1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1:26" ht="15.75" customHeight="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1:26" ht="15.75" customHeight="1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1:26" ht="15.75" customHeight="1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1:26" ht="15.75" customHeight="1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1:26" ht="15.75" customHeight="1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1:26" ht="15.75" customHeight="1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1:26" ht="15.75" customHeight="1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1:26" ht="15.75" customHeight="1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1:26" ht="15.75" customHeight="1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1:26" ht="15.75" customHeight="1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1:26" ht="15.75" customHeight="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1:26" ht="15.75" customHeight="1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1:26" ht="15.75" customHeight="1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1:26" ht="15.75" customHeight="1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1:26" ht="15.75" customHeight="1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1:26" ht="15.75" customHeight="1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1:26" ht="15.75" customHeight="1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1:26" ht="15.75" customHeight="1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1:26" ht="15.75" customHeight="1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1:26" ht="15.75" customHeight="1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1:26" ht="15.75" customHeight="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1:26" ht="15.75" customHeight="1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1:26" ht="15.75" customHeight="1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1:26" ht="15.75" customHeight="1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1:26" ht="15.75" customHeight="1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1:26" ht="15.75" customHeight="1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1:26" ht="15.75" customHeight="1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1:26" ht="15.75" customHeight="1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1:26" ht="15.75" customHeight="1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1:26" ht="15.75" customHeight="1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spans="1:26" ht="15.75" customHeight="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spans="1:26" ht="15.75" customHeight="1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spans="1:26" ht="15.75" customHeight="1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spans="1:26" ht="15.75" customHeight="1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spans="1:26" ht="15.75" customHeight="1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spans="1:26" ht="15.75" customHeight="1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spans="1:26" ht="15.75" customHeight="1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spans="1:26" ht="15.75" customHeight="1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spans="1:26" ht="15.75" customHeight="1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spans="1:26" ht="15.75" customHeight="1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spans="1:26" ht="15.75" customHeight="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spans="1:26" ht="15.75" customHeight="1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spans="1:26" ht="15.75" customHeight="1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spans="1:26" ht="15.75" customHeight="1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spans="1:26" ht="15.75" customHeight="1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spans="1:26" ht="15.75" customHeight="1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spans="1:26" ht="15.75" customHeight="1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spans="1:26" ht="15.75" customHeight="1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spans="1:26" ht="15.75" customHeight="1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spans="1:26" ht="15.75" customHeight="1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spans="1:26" ht="15.75" customHeight="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spans="1:26" ht="15.75" customHeight="1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spans="1:26" ht="15.75" customHeight="1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spans="1:26" ht="15.75" customHeight="1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spans="1:26" ht="15.75" customHeight="1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spans="1:26" ht="15.75" customHeight="1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spans="1:26" ht="15.75" customHeight="1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spans="1:26" ht="15.75" customHeight="1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spans="1:26" ht="15.75" customHeight="1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spans="1:26" ht="15.75" customHeight="1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spans="1:26" ht="15.75" customHeight="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spans="1:26" ht="15.75" customHeight="1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spans="1:26" ht="15.75" customHeight="1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spans="1:26" ht="15.75" customHeight="1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spans="1:26" ht="15.75" customHeight="1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spans="1:26" ht="15.75" customHeight="1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spans="1:26" ht="15.75" customHeight="1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spans="1:26" ht="15.75" customHeight="1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spans="1:26" ht="15.75" customHeight="1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spans="1:26" ht="15.75" customHeight="1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spans="1:26" ht="15.75" customHeight="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spans="1:26" ht="15.75" customHeight="1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spans="1:26" ht="15.75" customHeight="1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spans="1:26" ht="15.75" customHeight="1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spans="1:26" ht="15.75" customHeight="1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spans="1:26" ht="15.75" customHeight="1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spans="1:26" ht="15.75" customHeight="1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spans="1:26" ht="15.75" customHeight="1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spans="1:26" ht="15.75" customHeight="1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spans="1:26" ht="15.75" customHeight="1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spans="1:26" ht="15.75" customHeight="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spans="1:26" ht="15.75" customHeight="1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spans="1:26" ht="15.75" customHeight="1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spans="1:26" ht="15.75" customHeight="1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spans="1:26" ht="15.75" customHeight="1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spans="1:26" ht="15.75" customHeight="1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spans="1:26" ht="15.75" customHeight="1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spans="1:26" ht="15.75" customHeight="1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spans="1:26" ht="15.75" customHeight="1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spans="1:26" ht="15.75" customHeight="1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spans="1:26" ht="15.75" customHeight="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spans="1:26" ht="15.75" customHeight="1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spans="1:26" ht="15.75" customHeight="1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spans="1:26" ht="15.75" customHeight="1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spans="1:26" ht="15.75" customHeight="1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spans="1:26" ht="15.75" customHeight="1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spans="1:26" ht="15.75" customHeight="1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spans="1:26" ht="15.75" customHeight="1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spans="1:26" ht="15.75" customHeight="1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spans="1:26" ht="15.75" customHeight="1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spans="1:26" ht="15.75" customHeight="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spans="1:26" ht="15.75" customHeight="1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spans="1:26" ht="15.75" customHeight="1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spans="1:26" ht="15.75" customHeight="1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spans="1:26" ht="15.75" customHeight="1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spans="1:26" ht="15.75" customHeight="1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spans="1:26" ht="15.75" customHeight="1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spans="1:26" ht="15.75" customHeight="1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spans="1:26" ht="15.75" customHeight="1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spans="1:26" ht="15.75" customHeight="1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spans="1:26" ht="15.75" customHeight="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spans="1:26" ht="15.75" customHeight="1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spans="1:26" ht="15.75" customHeight="1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spans="1:26" ht="15.75" customHeight="1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spans="1:26" ht="15.75" customHeight="1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spans="1:26" ht="15.75" customHeight="1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spans="1:26" ht="15.75" customHeight="1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spans="1:26" ht="15.75" customHeight="1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spans="1:26" ht="15.75" customHeight="1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spans="1:26" ht="15.75" customHeight="1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spans="1:26" ht="15.75" customHeight="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spans="1:26" ht="15.75" customHeight="1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spans="1:26" ht="15.75" customHeight="1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spans="1:26" ht="15.75" customHeight="1"/>
    <row r="295" spans="1:26" ht="15.75" customHeight="1"/>
    <row r="296" spans="1:26" ht="15.75" customHeight="1"/>
    <row r="297" spans="1:26" ht="15.75" customHeight="1"/>
    <row r="298" spans="1:26" ht="15.75" customHeight="1"/>
    <row r="299" spans="1:26" ht="15.75" customHeight="1"/>
    <row r="300" spans="1:26" ht="15.75" customHeight="1"/>
    <row r="301" spans="1:26" ht="15.75" customHeight="1"/>
    <row r="302" spans="1:26" ht="15.75" customHeight="1"/>
    <row r="303" spans="1:26" ht="15.75" customHeight="1"/>
    <row r="304" spans="1:26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mergeCells count="36">
    <mergeCell ref="A16:E16"/>
    <mergeCell ref="A89:M89"/>
    <mergeCell ref="A90:B90"/>
    <mergeCell ref="C90:D90"/>
    <mergeCell ref="E90:F90"/>
    <mergeCell ref="G90:H90"/>
    <mergeCell ref="L90:M90"/>
    <mergeCell ref="I90:K90"/>
    <mergeCell ref="A91:M91"/>
    <mergeCell ref="A92:B93"/>
    <mergeCell ref="C92:F92"/>
    <mergeCell ref="G92:M93"/>
    <mergeCell ref="C93:F93"/>
    <mergeCell ref="A12:C12"/>
    <mergeCell ref="D12:H12"/>
    <mergeCell ref="I12:M12"/>
    <mergeCell ref="D15:H15"/>
    <mergeCell ref="I15:M15"/>
    <mergeCell ref="A13:C13"/>
    <mergeCell ref="D13:H13"/>
    <mergeCell ref="I13:M13"/>
    <mergeCell ref="A14:C14"/>
    <mergeCell ref="D14:H14"/>
    <mergeCell ref="I14:M14"/>
    <mergeCell ref="A15:C15"/>
    <mergeCell ref="A6:M6"/>
    <mergeCell ref="A7:M7"/>
    <mergeCell ref="A9:M9"/>
    <mergeCell ref="A10:C10"/>
    <mergeCell ref="D10:M11"/>
    <mergeCell ref="A11:C11"/>
    <mergeCell ref="A1:M1"/>
    <mergeCell ref="A2:M2"/>
    <mergeCell ref="A3:M3"/>
    <mergeCell ref="A4:M4"/>
    <mergeCell ref="A5:M5"/>
  </mergeCells>
  <conditionalFormatting sqref="M19:M34">
    <cfRule type="containsText" dxfId="0" priority="1" operator="containsText" text="closed">
      <formula>NOT(ISERROR(SEARCH(("closed"),(M19))))</formula>
    </cfRule>
  </conditionalFormatting>
  <hyperlinks>
    <hyperlink ref="A7" r:id="rId1" xr:uid="{00000000-0004-0000-0200-000000000000}"/>
  </hyperlinks>
  <printOptions horizontalCentered="1"/>
  <pageMargins left="0.25" right="0.25" top="0.75" bottom="0.75" header="0" footer="0"/>
  <pageSetup paperSize="9" fitToHeight="0" pageOrder="overThenDown" orientation="landscape" cellComments="atEnd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Instrumen Audit SPMI 2021</vt:lpstr>
      <vt:lpstr>Hasil AMI  Tindak lanjut</vt:lpstr>
      <vt:lpstr>PTPP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IKRAR</dc:creator>
  <cp:lastModifiedBy>NurFajrin</cp:lastModifiedBy>
  <dcterms:created xsi:type="dcterms:W3CDTF">2025-06-03T02:21:22Z</dcterms:created>
  <dcterms:modified xsi:type="dcterms:W3CDTF">2026-05-19T08:35:21Z</dcterms:modified>
</cp:coreProperties>
</file>